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bopeng/Documents/Favor/Documents/"/>
    </mc:Choice>
  </mc:AlternateContent>
  <xr:revisionPtr revIDLastSave="0" documentId="13_ncr:1_{1F83193B-93F8-ED46-8447-17A6C495C7E9}" xr6:coauthVersionLast="47" xr6:coauthVersionMax="47" xr10:uidLastSave="{00000000-0000-0000-0000-000000000000}"/>
  <bookViews>
    <workbookView xWindow="0" yWindow="720" windowWidth="29400" windowHeight="18400" firstSheet="1" activeTab="1" xr2:uid="{30C38821-E518-4E3E-9F41-1DAEEF1C4DDE}"/>
  </bookViews>
  <sheets>
    <sheet name="Calcs" sheetId="2" r:id="rId1"/>
    <sheet name="Wells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2" l="1"/>
  <c r="O6" i="2"/>
  <c r="O4" i="2"/>
  <c r="O8" i="2"/>
  <c r="O10" i="2"/>
  <c r="O11" i="2"/>
  <c r="O9" i="2"/>
  <c r="O5" i="2"/>
  <c r="O3" i="2"/>
  <c r="M7" i="2"/>
  <c r="M6" i="2"/>
  <c r="M4" i="2"/>
  <c r="M8" i="2"/>
  <c r="M10" i="2"/>
  <c r="M11" i="2"/>
  <c r="M9" i="2"/>
  <c r="M5" i="2"/>
  <c r="M2" i="2"/>
  <c r="M3" i="2"/>
  <c r="O2" i="2"/>
</calcChain>
</file>

<file path=xl/sharedStrings.xml><?xml version="1.0" encoding="utf-8"?>
<sst xmlns="http://schemas.openxmlformats.org/spreadsheetml/2006/main" count="446" uniqueCount="35">
  <si>
    <t>REP</t>
  </si>
  <si>
    <t>SAMPLE</t>
  </si>
  <si>
    <t>Order</t>
  </si>
  <si>
    <t>Random</t>
  </si>
  <si>
    <t>19 Microbiomes</t>
  </si>
  <si>
    <t>10 seeds</t>
  </si>
  <si>
    <t>2 repetitions</t>
  </si>
  <si>
    <t>=</t>
  </si>
  <si>
    <t>380 experiments</t>
  </si>
  <si>
    <t>%</t>
  </si>
  <si>
    <t>96 wells in one microplate</t>
  </si>
  <si>
    <t>4 microplates</t>
  </si>
  <si>
    <t>NC262</t>
  </si>
  <si>
    <t>PHG35</t>
  </si>
  <si>
    <t>B57</t>
  </si>
  <si>
    <t>A554</t>
  </si>
  <si>
    <t>LH60</t>
  </si>
  <si>
    <t>PHG47</t>
  </si>
  <si>
    <t>PHG39</t>
  </si>
  <si>
    <t>HP301</t>
  </si>
  <si>
    <t>FBB0</t>
  </si>
  <si>
    <t>10 mg of each seed pericarp in each plate</t>
  </si>
  <si>
    <t>*</t>
  </si>
  <si>
    <t>20 spaces</t>
  </si>
  <si>
    <t>400 mg of each seed (minimum)</t>
  </si>
  <si>
    <t>A</t>
  </si>
  <si>
    <t>PCRNC</t>
  </si>
  <si>
    <t>B</t>
  </si>
  <si>
    <t>C</t>
  </si>
  <si>
    <t>D</t>
  </si>
  <si>
    <t>E</t>
  </si>
  <si>
    <t>F</t>
  </si>
  <si>
    <t>DNANC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</si>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</sst>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CC99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/>
      <bottom/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/>
      <diagonal/>
    </border>
    <border>
      <left/>
      <right style="thick">
        <color theme="1"/>
      </right>
      <top/>
      <bottom/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 style="thick">
        <color theme="1"/>
      </left>
      <right/>
      <top/>
      <bottom/>
      <diagonal/>
    </border>
    <border>
      <left style="thick">
        <color theme="1"/>
      </left>
      <right/>
      <top/>
      <bottom style="thick">
        <color theme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2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0" fontId="0" fillId="10" borderId="10" xfId="0" applyFill="1" applyBorder="1" applyAlignment="1">
      <alignment horizontal="center"/>
    </xf>
    <xf numFmtId="0" fontId="0" fillId="12" borderId="11" xfId="0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2" fillId="6" borderId="10" xfId="0" applyFont="1" applyFill="1" applyBorder="1" applyAlignment="1">
      <alignment horizontal="center"/>
    </xf>
    <xf numFmtId="0" fontId="2" fillId="7" borderId="10" xfId="0" applyFont="1" applyFill="1" applyBorder="1" applyAlignment="1">
      <alignment horizontal="center"/>
    </xf>
    <xf numFmtId="0" fontId="2" fillId="8" borderId="10" xfId="0" applyFont="1" applyFill="1" applyBorder="1" applyAlignment="1">
      <alignment horizontal="center"/>
    </xf>
    <xf numFmtId="0" fontId="2" fillId="9" borderId="10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3" xfId="0" applyBorder="1" applyAlignment="1">
      <alignment wrapText="1"/>
    </xf>
    <xf numFmtId="0" fontId="0" fillId="0" borderId="13" xfId="0" applyBorder="1"/>
    <xf numFmtId="0" fontId="0" fillId="0" borderId="17" xfId="0" applyBorder="1"/>
    <xf numFmtId="0" fontId="0" fillId="0" borderId="14" xfId="0" applyBorder="1"/>
    <xf numFmtId="0" fontId="0" fillId="0" borderId="12" xfId="0" applyBorder="1" applyAlignment="1">
      <alignment wrapText="1"/>
    </xf>
    <xf numFmtId="0" fontId="0" fillId="11" borderId="0" xfId="0" applyFill="1" applyAlignment="1">
      <alignment horizontal="center"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3" fillId="11" borderId="2" xfId="0" applyFont="1" applyFill="1" applyBorder="1"/>
    <xf numFmtId="0" fontId="3" fillId="11" borderId="0" xfId="0" applyFont="1" applyFill="1"/>
    <xf numFmtId="0" fontId="3" fillId="11" borderId="6" xfId="0" applyFont="1" applyFill="1" applyBorder="1"/>
    <xf numFmtId="0" fontId="3" fillId="11" borderId="7" xfId="0" applyFont="1" applyFill="1" applyBorder="1"/>
    <xf numFmtId="0" fontId="3" fillId="11" borderId="0" xfId="0" applyFont="1" applyFill="1" applyAlignment="1">
      <alignment horizontal="center"/>
    </xf>
    <xf numFmtId="0" fontId="3" fillId="11" borderId="4" xfId="0" applyFont="1" applyFill="1" applyBorder="1"/>
    <xf numFmtId="0" fontId="0" fillId="3" borderId="0" xfId="0" applyFill="1" applyAlignment="1">
      <alignment horizontal="center"/>
    </xf>
    <xf numFmtId="0" fontId="0" fillId="0" borderId="3" xfId="0" applyBorder="1"/>
    <xf numFmtId="0" fontId="0" fillId="0" borderId="5" xfId="0" applyBorder="1"/>
    <xf numFmtId="0" fontId="0" fillId="0" borderId="8" xfId="0" applyBorder="1"/>
    <xf numFmtId="0" fontId="0" fillId="3" borderId="4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3" fillId="0" borderId="0" xfId="0" applyFont="1" applyFill="1" applyAlignment="1">
      <alignment horizontal="center"/>
    </xf>
  </cellXfs>
  <cellStyles count="1">
    <cellStyle name="Normal" xfId="0" builtinId="0"/>
  </cellStyles>
  <dxfs count="50"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70C0"/>
      </font>
      <fill>
        <patternFill>
          <bgColor rgb="FF00B0F0"/>
        </patternFill>
      </fill>
    </dxf>
    <dxf>
      <fill>
        <patternFill>
          <bgColor theme="8" tint="0.39994506668294322"/>
        </patternFill>
      </fill>
    </dxf>
    <dxf>
      <fill>
        <patternFill>
          <bgColor rgb="FFC00000"/>
        </patternFill>
      </fill>
    </dxf>
    <dxf>
      <font>
        <color rgb="FF7030A0"/>
      </font>
      <fill>
        <patternFill>
          <bgColor theme="4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C00000"/>
        </patternFill>
      </fill>
    </dxf>
    <dxf>
      <fill>
        <patternFill>
          <bgColor theme="8" tint="0.39994506668294322"/>
        </patternFill>
      </fill>
    </dxf>
    <dxf>
      <font>
        <color rgb="FF0070C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font>
        <color rgb="FF0070C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CC99"/>
      <color rgb="FFCC99FF"/>
      <color rgb="FFCCCC00"/>
      <color rgb="FFFFFF99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0B5A5-612B-499B-9A84-4883999102D9}">
  <dimension ref="A1:O23"/>
  <sheetViews>
    <sheetView workbookViewId="0">
      <selection activeCell="E33" sqref="E33"/>
    </sheetView>
  </sheetViews>
  <sheetFormatPr baseColWidth="10" defaultColWidth="8.83203125" defaultRowHeight="15" x14ac:dyDescent="0.2"/>
  <cols>
    <col min="1" max="1" width="15.6640625" customWidth="1"/>
    <col min="2" max="2" width="19.5" customWidth="1"/>
    <col min="3" max="3" width="18.5" customWidth="1"/>
    <col min="4" max="4" width="17.83203125" customWidth="1"/>
    <col min="5" max="5" width="8.5"/>
    <col min="6" max="6" width="31" customWidth="1"/>
    <col min="7" max="7" width="30.33203125" customWidth="1"/>
    <col min="8" max="8" width="27.1640625" customWidth="1"/>
    <col min="9" max="9" width="8.5"/>
    <col min="10" max="10" width="13.5" customWidth="1"/>
    <col min="11" max="11" width="8.5"/>
    <col min="12" max="14" width="8.83203125" style="2"/>
    <col min="15" max="15" width="11.5" style="2" bestFit="1" customWidth="1"/>
    <col min="16" max="16384" width="8.83203125" style="2"/>
  </cols>
  <sheetData>
    <row r="1" spans="1:15" ht="16" x14ac:dyDescent="0.2">
      <c r="L1" s="2" t="s">
        <v>0</v>
      </c>
      <c r="M1" s="2" t="s">
        <v>1</v>
      </c>
      <c r="N1" s="2" t="s">
        <v>2</v>
      </c>
      <c r="O1" s="2" t="s">
        <v>3</v>
      </c>
    </row>
    <row r="2" spans="1:15" ht="16" x14ac:dyDescent="0.2">
      <c r="A2" s="49" t="s">
        <v>4</v>
      </c>
      <c r="B2" s="49"/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7</v>
      </c>
      <c r="J2" s="30" t="s">
        <v>11</v>
      </c>
      <c r="K2" s="2"/>
      <c r="L2" s="2">
        <v>1</v>
      </c>
      <c r="M2" s="2" t="str">
        <f t="shared" ref="M2:M11" si="0">_xlfn.CONCAT(C4,"_",L2)</f>
        <v>NC262_1</v>
      </c>
      <c r="N2" s="2">
        <v>10</v>
      </c>
      <c r="O2" s="2" t="e">
        <f ca="1">#REF!=RAND()</f>
        <v>#REF!</v>
      </c>
    </row>
    <row r="3" spans="1:15" ht="17" thickBot="1" x14ac:dyDescent="0.25">
      <c r="C3" s="2"/>
      <c r="D3" s="2"/>
      <c r="E3" s="2"/>
      <c r="F3" s="2"/>
      <c r="G3" s="2"/>
      <c r="L3" s="2">
        <v>1</v>
      </c>
      <c r="M3" s="2" t="str">
        <f t="shared" si="0"/>
        <v>PHG35_1</v>
      </c>
      <c r="N3" s="2">
        <v>1</v>
      </c>
      <c r="O3" s="2">
        <f t="shared" ref="O3:O11" ca="1" si="1">RAND()</f>
        <v>0.28648982881428975</v>
      </c>
    </row>
    <row r="4" spans="1:15" ht="17" thickTop="1" x14ac:dyDescent="0.2">
      <c r="A4" s="23"/>
      <c r="B4" s="29"/>
      <c r="C4" s="4" t="s">
        <v>12</v>
      </c>
      <c r="D4" s="14" t="s">
        <v>12</v>
      </c>
      <c r="E4" s="2"/>
      <c r="F4" s="2"/>
      <c r="G4" s="2"/>
      <c r="L4" s="2">
        <v>1</v>
      </c>
      <c r="M4" s="2" t="str">
        <f t="shared" si="0"/>
        <v>B57_1</v>
      </c>
      <c r="N4" s="2">
        <v>4</v>
      </c>
      <c r="O4" s="2">
        <f t="shared" ca="1" si="1"/>
        <v>0.15265246442116076</v>
      </c>
    </row>
    <row r="5" spans="1:15" ht="16" x14ac:dyDescent="0.2">
      <c r="A5" s="24"/>
      <c r="B5" s="26"/>
      <c r="C5" s="5" t="s">
        <v>13</v>
      </c>
      <c r="D5" s="15" t="s">
        <v>13</v>
      </c>
      <c r="G5" s="2"/>
      <c r="L5" s="2">
        <v>1</v>
      </c>
      <c r="M5" s="2" t="str">
        <f t="shared" si="0"/>
        <v>A554_1</v>
      </c>
      <c r="N5" s="2">
        <v>9</v>
      </c>
      <c r="O5" s="2">
        <f t="shared" ca="1" si="1"/>
        <v>0.83051146140241849</v>
      </c>
    </row>
    <row r="6" spans="1:15" ht="16" x14ac:dyDescent="0.2">
      <c r="A6" s="24"/>
      <c r="B6" s="25"/>
      <c r="C6" s="6" t="s">
        <v>14</v>
      </c>
      <c r="D6" s="16" t="s">
        <v>14</v>
      </c>
      <c r="E6" s="2"/>
      <c r="F6" s="2"/>
      <c r="G6" s="2"/>
      <c r="L6" s="2">
        <v>1</v>
      </c>
      <c r="M6" s="2" t="str">
        <f t="shared" si="0"/>
        <v>LH60_1</v>
      </c>
      <c r="N6" s="2">
        <v>3</v>
      </c>
      <c r="O6" s="2">
        <f t="shared" ca="1" si="1"/>
        <v>0.18283684204407658</v>
      </c>
    </row>
    <row r="7" spans="1:15" ht="16" x14ac:dyDescent="0.2">
      <c r="A7" s="24"/>
      <c r="B7" s="26"/>
      <c r="C7" s="7" t="s">
        <v>15</v>
      </c>
      <c r="D7" s="17" t="s">
        <v>15</v>
      </c>
      <c r="E7" s="2"/>
      <c r="F7" s="2"/>
      <c r="G7" s="2"/>
      <c r="L7" s="2">
        <v>1</v>
      </c>
      <c r="M7" s="2" t="str">
        <f t="shared" si="0"/>
        <v>PHG47_1</v>
      </c>
      <c r="N7" s="2">
        <v>2</v>
      </c>
      <c r="O7" s="2">
        <f t="shared" ca="1" si="1"/>
        <v>0.77194857842808939</v>
      </c>
    </row>
    <row r="8" spans="1:15" ht="16" x14ac:dyDescent="0.2">
      <c r="A8" s="24"/>
      <c r="B8" s="26"/>
      <c r="C8" s="8" t="s">
        <v>16</v>
      </c>
      <c r="D8" s="18" t="s">
        <v>16</v>
      </c>
      <c r="L8" s="2">
        <v>1</v>
      </c>
      <c r="M8" s="2" t="str">
        <f t="shared" si="0"/>
        <v>764_1</v>
      </c>
      <c r="N8" s="2">
        <v>5</v>
      </c>
      <c r="O8" s="2">
        <f t="shared" ca="1" si="1"/>
        <v>4.7693720157257924E-2</v>
      </c>
    </row>
    <row r="9" spans="1:15" ht="16" x14ac:dyDescent="0.2">
      <c r="A9" s="24"/>
      <c r="B9" s="26"/>
      <c r="C9" s="9" t="s">
        <v>17</v>
      </c>
      <c r="D9" s="19" t="s">
        <v>17</v>
      </c>
      <c r="L9" s="2">
        <v>1</v>
      </c>
      <c r="M9" s="2" t="str">
        <f t="shared" si="0"/>
        <v>PHG39_1</v>
      </c>
      <c r="N9" s="2">
        <v>8</v>
      </c>
      <c r="O9" s="2">
        <f t="shared" ca="1" si="1"/>
        <v>0.15630681164236437</v>
      </c>
    </row>
    <row r="10" spans="1:15" ht="16" x14ac:dyDescent="0.2">
      <c r="A10" s="24"/>
      <c r="B10" s="26"/>
      <c r="C10" s="10">
        <v>764</v>
      </c>
      <c r="D10" s="20">
        <v>764</v>
      </c>
      <c r="L10" s="2">
        <v>1</v>
      </c>
      <c r="M10" s="2" t="str">
        <f t="shared" si="0"/>
        <v>HP301_1</v>
      </c>
      <c r="N10" s="2">
        <v>6</v>
      </c>
      <c r="O10" s="2">
        <f t="shared" ca="1" si="1"/>
        <v>0.66409326165613403</v>
      </c>
    </row>
    <row r="11" spans="1:15" ht="16" x14ac:dyDescent="0.2">
      <c r="A11" s="24"/>
      <c r="B11" s="26"/>
      <c r="C11" s="11" t="s">
        <v>18</v>
      </c>
      <c r="D11" s="21" t="s">
        <v>18</v>
      </c>
      <c r="L11" s="2">
        <v>1</v>
      </c>
      <c r="M11" s="2" t="str">
        <f t="shared" si="0"/>
        <v>FBB0_1</v>
      </c>
      <c r="N11" s="2">
        <v>7</v>
      </c>
      <c r="O11" s="2">
        <f t="shared" ca="1" si="1"/>
        <v>0.41256307948265536</v>
      </c>
    </row>
    <row r="12" spans="1:15" x14ac:dyDescent="0.2">
      <c r="A12" s="24"/>
      <c r="B12" s="26"/>
      <c r="C12" s="12" t="s">
        <v>19</v>
      </c>
      <c r="D12" s="22" t="s">
        <v>19</v>
      </c>
    </row>
    <row r="13" spans="1:15" ht="16" thickBot="1" x14ac:dyDescent="0.25">
      <c r="A13" s="27"/>
      <c r="B13" s="28"/>
      <c r="C13" s="13" t="s">
        <v>20</v>
      </c>
      <c r="D13" s="13" t="s">
        <v>20</v>
      </c>
    </row>
    <row r="14" spans="1:15" ht="16" thickTop="1" x14ac:dyDescent="0.2"/>
    <row r="23" spans="2:6" ht="32" x14ac:dyDescent="0.2">
      <c r="B23" s="2" t="s">
        <v>21</v>
      </c>
      <c r="C23" t="s">
        <v>22</v>
      </c>
      <c r="D23" t="s">
        <v>23</v>
      </c>
      <c r="E23" t="s">
        <v>7</v>
      </c>
      <c r="F23" t="s">
        <v>24</v>
      </c>
    </row>
  </sheetData>
  <sortState xmlns:xlrd2="http://schemas.microsoft.com/office/spreadsheetml/2017/richdata2" ref="L2:O24">
    <sortCondition ref="O2:O24"/>
  </sortState>
  <mergeCells count="1">
    <mergeCell ref="A2:B2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EA58B-9DBA-43A1-BBBA-B96611B196D9}">
  <dimension ref="A1:R62"/>
  <sheetViews>
    <sheetView tabSelected="1" zoomScale="111" zoomScaleNormal="80" workbookViewId="0">
      <selection activeCell="N16" sqref="N16"/>
    </sheetView>
  </sheetViews>
  <sheetFormatPr baseColWidth="10" defaultColWidth="8.83203125" defaultRowHeight="15" x14ac:dyDescent="0.2"/>
  <sheetData>
    <row r="1" spans="1:18" ht="16" thickBot="1" x14ac:dyDescent="0.25">
      <c r="B1" s="32">
        <v>1</v>
      </c>
      <c r="C1" s="32">
        <v>2</v>
      </c>
      <c r="D1" s="32">
        <v>3</v>
      </c>
      <c r="E1" s="32">
        <v>4</v>
      </c>
      <c r="F1" s="32">
        <v>5</v>
      </c>
      <c r="G1" s="32">
        <v>6</v>
      </c>
      <c r="H1" s="32">
        <v>7</v>
      </c>
      <c r="I1" s="32">
        <v>8</v>
      </c>
      <c r="J1" s="32">
        <v>9</v>
      </c>
      <c r="K1" s="32">
        <v>10</v>
      </c>
      <c r="L1" s="32">
        <v>11</v>
      </c>
      <c r="M1" s="32">
        <v>12</v>
      </c>
      <c r="Q1" s="1"/>
      <c r="R1" s="1"/>
    </row>
    <row r="2" spans="1:18" x14ac:dyDescent="0.2">
      <c r="A2" s="31" t="s">
        <v>25</v>
      </c>
      <c r="B2" s="33" t="s">
        <v>17</v>
      </c>
      <c r="C2" s="34">
        <v>764</v>
      </c>
      <c r="D2" s="34" t="s">
        <v>19</v>
      </c>
      <c r="E2" s="34" t="s">
        <v>18</v>
      </c>
      <c r="F2" s="34" t="s">
        <v>15</v>
      </c>
      <c r="G2" s="34" t="s">
        <v>13</v>
      </c>
      <c r="H2" s="38" t="s">
        <v>20</v>
      </c>
      <c r="I2" s="34" t="s">
        <v>12</v>
      </c>
      <c r="J2" s="34" t="s">
        <v>16</v>
      </c>
      <c r="K2" s="34" t="s">
        <v>14</v>
      </c>
      <c r="L2" s="44" t="s">
        <v>26</v>
      </c>
      <c r="Q2" s="1"/>
      <c r="R2" s="1"/>
    </row>
    <row r="3" spans="1:18" x14ac:dyDescent="0.2">
      <c r="A3" s="31" t="s">
        <v>27</v>
      </c>
      <c r="B3" s="35" t="s">
        <v>19</v>
      </c>
      <c r="C3" s="39" t="s">
        <v>20</v>
      </c>
      <c r="D3" t="s">
        <v>14</v>
      </c>
      <c r="E3" t="s">
        <v>18</v>
      </c>
      <c r="F3" t="s">
        <v>15</v>
      </c>
      <c r="G3" t="s">
        <v>12</v>
      </c>
      <c r="H3">
        <v>764</v>
      </c>
      <c r="I3" t="s">
        <v>13</v>
      </c>
      <c r="J3" t="s">
        <v>17</v>
      </c>
      <c r="K3" t="s">
        <v>16</v>
      </c>
      <c r="M3" s="46"/>
      <c r="Q3" s="1"/>
      <c r="R3" s="1"/>
    </row>
    <row r="4" spans="1:18" x14ac:dyDescent="0.2">
      <c r="A4" s="31" t="s">
        <v>28</v>
      </c>
      <c r="B4" s="35" t="s">
        <v>15</v>
      </c>
      <c r="C4" t="s">
        <v>12</v>
      </c>
      <c r="D4" s="39" t="s">
        <v>20</v>
      </c>
      <c r="E4">
        <v>764</v>
      </c>
      <c r="F4" t="s">
        <v>17</v>
      </c>
      <c r="G4" t="s">
        <v>14</v>
      </c>
      <c r="H4" t="s">
        <v>13</v>
      </c>
      <c r="I4" t="s">
        <v>16</v>
      </c>
      <c r="J4" t="s">
        <v>18</v>
      </c>
      <c r="K4" t="s">
        <v>19</v>
      </c>
      <c r="M4" s="46"/>
      <c r="Q4" s="1"/>
      <c r="R4" s="1"/>
    </row>
    <row r="5" spans="1:18" x14ac:dyDescent="0.2">
      <c r="A5" s="31" t="s">
        <v>29</v>
      </c>
      <c r="B5" s="35">
        <v>764</v>
      </c>
      <c r="C5" t="s">
        <v>14</v>
      </c>
      <c r="D5" t="s">
        <v>15</v>
      </c>
      <c r="E5" t="s">
        <v>19</v>
      </c>
      <c r="F5" t="s">
        <v>12</v>
      </c>
      <c r="G5" s="39" t="s">
        <v>20</v>
      </c>
      <c r="H5" t="s">
        <v>18</v>
      </c>
      <c r="I5" t="s">
        <v>17</v>
      </c>
      <c r="J5" t="s">
        <v>16</v>
      </c>
      <c r="K5" t="s">
        <v>13</v>
      </c>
      <c r="M5" s="46"/>
      <c r="Q5" s="1"/>
      <c r="R5" s="1"/>
    </row>
    <row r="6" spans="1:18" x14ac:dyDescent="0.2">
      <c r="A6" s="31" t="s">
        <v>30</v>
      </c>
      <c r="B6" s="35" t="s">
        <v>18</v>
      </c>
      <c r="C6" t="s">
        <v>12</v>
      </c>
      <c r="D6" t="s">
        <v>16</v>
      </c>
      <c r="E6" t="s">
        <v>17</v>
      </c>
      <c r="F6" s="39" t="s">
        <v>20</v>
      </c>
      <c r="G6" t="s">
        <v>19</v>
      </c>
      <c r="H6">
        <v>764</v>
      </c>
      <c r="I6" t="s">
        <v>14</v>
      </c>
      <c r="J6" t="s">
        <v>15</v>
      </c>
      <c r="K6" t="s">
        <v>13</v>
      </c>
      <c r="M6" s="46"/>
      <c r="Q6" s="1"/>
      <c r="R6" s="1"/>
    </row>
    <row r="7" spans="1:18" x14ac:dyDescent="0.2">
      <c r="A7" s="31" t="s">
        <v>31</v>
      </c>
      <c r="B7" s="35" t="s">
        <v>17</v>
      </c>
      <c r="C7" t="s">
        <v>13</v>
      </c>
      <c r="D7" t="s">
        <v>14</v>
      </c>
      <c r="E7" t="s">
        <v>19</v>
      </c>
      <c r="F7" s="39" t="s">
        <v>20</v>
      </c>
      <c r="G7">
        <v>764</v>
      </c>
      <c r="H7" t="s">
        <v>12</v>
      </c>
      <c r="I7" t="s">
        <v>16</v>
      </c>
      <c r="J7" t="s">
        <v>15</v>
      </c>
      <c r="K7" t="s">
        <v>18</v>
      </c>
      <c r="L7" s="1"/>
      <c r="M7" s="44" t="s">
        <v>32</v>
      </c>
      <c r="Q7" s="1"/>
      <c r="R7" s="1"/>
    </row>
    <row r="8" spans="1:18" x14ac:dyDescent="0.2">
      <c r="A8" s="31" t="s">
        <v>33</v>
      </c>
      <c r="B8" s="35">
        <v>764</v>
      </c>
      <c r="C8" t="s">
        <v>16</v>
      </c>
      <c r="D8" t="s">
        <v>17</v>
      </c>
      <c r="E8" t="s">
        <v>19</v>
      </c>
      <c r="F8" t="s">
        <v>13</v>
      </c>
      <c r="G8" t="s">
        <v>14</v>
      </c>
      <c r="H8" t="s">
        <v>18</v>
      </c>
      <c r="I8" t="s">
        <v>12</v>
      </c>
      <c r="J8" s="39" t="s">
        <v>20</v>
      </c>
      <c r="K8" t="s">
        <v>15</v>
      </c>
      <c r="M8" s="1"/>
      <c r="Q8" s="1"/>
      <c r="R8" s="1"/>
    </row>
    <row r="9" spans="1:18" ht="16" thickBot="1" x14ac:dyDescent="0.25">
      <c r="A9" s="31" t="s">
        <v>34</v>
      </c>
      <c r="B9" s="40" t="s">
        <v>20</v>
      </c>
      <c r="C9" s="37" t="s">
        <v>12</v>
      </c>
      <c r="D9" s="37" t="s">
        <v>17</v>
      </c>
      <c r="E9" s="37" t="s">
        <v>19</v>
      </c>
      <c r="F9" s="37">
        <v>764</v>
      </c>
      <c r="G9" s="37" t="s">
        <v>18</v>
      </c>
      <c r="H9" s="37" t="s">
        <v>14</v>
      </c>
      <c r="I9" s="37" t="s">
        <v>15</v>
      </c>
      <c r="J9" s="37" t="s">
        <v>13</v>
      </c>
      <c r="K9" s="37" t="s">
        <v>16</v>
      </c>
      <c r="L9" s="37"/>
      <c r="M9" s="47"/>
      <c r="Q9" s="1"/>
      <c r="R9" s="1"/>
    </row>
    <row r="10" spans="1:18" x14ac:dyDescent="0.2">
      <c r="Q10" s="50"/>
      <c r="R10" s="50"/>
    </row>
    <row r="11" spans="1:18" x14ac:dyDescent="0.2">
      <c r="Q11" s="50"/>
      <c r="R11" s="50"/>
    </row>
    <row r="13" spans="1:18" ht="16" thickBot="1" x14ac:dyDescent="0.25">
      <c r="B13" s="32">
        <v>1</v>
      </c>
      <c r="C13" s="32">
        <v>2</v>
      </c>
      <c r="D13" s="32">
        <v>3</v>
      </c>
      <c r="E13" s="32">
        <v>4</v>
      </c>
      <c r="F13" s="32">
        <v>5</v>
      </c>
      <c r="G13" s="32">
        <v>6</v>
      </c>
      <c r="H13" s="32">
        <v>7</v>
      </c>
      <c r="I13" s="32">
        <v>8</v>
      </c>
      <c r="J13" s="32">
        <v>9</v>
      </c>
      <c r="K13" s="32">
        <v>10</v>
      </c>
      <c r="L13" s="32">
        <v>11</v>
      </c>
      <c r="M13" s="32">
        <v>12</v>
      </c>
    </row>
    <row r="14" spans="1:18" x14ac:dyDescent="0.2">
      <c r="A14" s="31" t="s">
        <v>25</v>
      </c>
      <c r="B14" s="33" t="s">
        <v>15</v>
      </c>
      <c r="C14" s="34" t="s">
        <v>12</v>
      </c>
      <c r="D14" s="34" t="s">
        <v>14</v>
      </c>
      <c r="E14" s="34">
        <v>764</v>
      </c>
      <c r="F14" s="34" t="s">
        <v>19</v>
      </c>
      <c r="G14" s="34" t="s">
        <v>17</v>
      </c>
      <c r="H14" s="38" t="s">
        <v>20</v>
      </c>
      <c r="I14" s="34" t="s">
        <v>18</v>
      </c>
      <c r="J14" s="34" t="s">
        <v>13</v>
      </c>
      <c r="K14" s="34" t="s">
        <v>16</v>
      </c>
      <c r="L14" s="34"/>
      <c r="M14" s="45"/>
    </row>
    <row r="15" spans="1:18" x14ac:dyDescent="0.2">
      <c r="A15" s="31" t="s">
        <v>27</v>
      </c>
      <c r="B15" s="43" t="s">
        <v>20</v>
      </c>
      <c r="C15" t="s">
        <v>19</v>
      </c>
      <c r="D15" t="s">
        <v>13</v>
      </c>
      <c r="E15" t="s">
        <v>14</v>
      </c>
      <c r="F15" t="s">
        <v>15</v>
      </c>
      <c r="G15" t="s">
        <v>17</v>
      </c>
      <c r="H15">
        <v>764</v>
      </c>
      <c r="I15" t="s">
        <v>12</v>
      </c>
      <c r="J15" t="s">
        <v>16</v>
      </c>
      <c r="K15" t="s">
        <v>18</v>
      </c>
      <c r="M15" s="46"/>
    </row>
    <row r="16" spans="1:18" x14ac:dyDescent="0.2">
      <c r="A16" s="31" t="s">
        <v>28</v>
      </c>
      <c r="B16" s="35" t="s">
        <v>12</v>
      </c>
      <c r="C16" t="s">
        <v>17</v>
      </c>
      <c r="D16" t="s">
        <v>14</v>
      </c>
      <c r="E16" t="s">
        <v>15</v>
      </c>
      <c r="F16">
        <v>764</v>
      </c>
      <c r="G16" t="s">
        <v>18</v>
      </c>
      <c r="H16" t="s">
        <v>19</v>
      </c>
      <c r="I16" t="s">
        <v>16</v>
      </c>
      <c r="J16" t="s">
        <v>13</v>
      </c>
      <c r="K16" s="39" t="s">
        <v>20</v>
      </c>
      <c r="M16" s="44" t="s">
        <v>32</v>
      </c>
    </row>
    <row r="17" spans="1:13" x14ac:dyDescent="0.2">
      <c r="A17" s="31" t="s">
        <v>29</v>
      </c>
      <c r="B17" s="35" t="s">
        <v>19</v>
      </c>
      <c r="C17" t="s">
        <v>17</v>
      </c>
      <c r="D17">
        <v>764</v>
      </c>
      <c r="E17" t="s">
        <v>16</v>
      </c>
      <c r="F17" s="39" t="s">
        <v>20</v>
      </c>
      <c r="G17" t="s">
        <v>13</v>
      </c>
      <c r="H17" t="s">
        <v>15</v>
      </c>
      <c r="I17" t="s">
        <v>12</v>
      </c>
      <c r="J17" t="s">
        <v>18</v>
      </c>
      <c r="K17" t="s">
        <v>14</v>
      </c>
      <c r="M17" s="46"/>
    </row>
    <row r="18" spans="1:13" x14ac:dyDescent="0.2">
      <c r="A18" s="31" t="s">
        <v>30</v>
      </c>
      <c r="B18" s="35" t="s">
        <v>13</v>
      </c>
      <c r="C18" t="s">
        <v>12</v>
      </c>
      <c r="D18" s="39" t="s">
        <v>20</v>
      </c>
      <c r="E18" t="s">
        <v>16</v>
      </c>
      <c r="F18" t="s">
        <v>15</v>
      </c>
      <c r="G18">
        <v>764</v>
      </c>
      <c r="H18" t="s">
        <v>17</v>
      </c>
      <c r="I18" t="s">
        <v>18</v>
      </c>
      <c r="J18" t="s">
        <v>19</v>
      </c>
      <c r="K18" t="s">
        <v>14</v>
      </c>
      <c r="M18" s="46"/>
    </row>
    <row r="19" spans="1:13" x14ac:dyDescent="0.2">
      <c r="A19" s="31" t="s">
        <v>31</v>
      </c>
      <c r="B19" s="43" t="s">
        <v>20</v>
      </c>
      <c r="C19" t="s">
        <v>19</v>
      </c>
      <c r="D19" t="s">
        <v>18</v>
      </c>
      <c r="E19" t="s">
        <v>14</v>
      </c>
      <c r="F19" t="s">
        <v>13</v>
      </c>
      <c r="G19" t="s">
        <v>16</v>
      </c>
      <c r="H19" t="s">
        <v>15</v>
      </c>
      <c r="I19" t="s">
        <v>17</v>
      </c>
      <c r="J19" t="s">
        <v>12</v>
      </c>
      <c r="K19">
        <v>764</v>
      </c>
      <c r="L19" s="1"/>
      <c r="M19" s="46"/>
    </row>
    <row r="20" spans="1:13" x14ac:dyDescent="0.2">
      <c r="A20" s="31" t="s">
        <v>33</v>
      </c>
      <c r="B20" s="35" t="s">
        <v>15</v>
      </c>
      <c r="C20" t="s">
        <v>17</v>
      </c>
      <c r="D20" t="s">
        <v>19</v>
      </c>
      <c r="E20" t="s">
        <v>16</v>
      </c>
      <c r="F20" t="s">
        <v>14</v>
      </c>
      <c r="G20" t="s">
        <v>18</v>
      </c>
      <c r="H20" t="s">
        <v>13</v>
      </c>
      <c r="I20">
        <v>764</v>
      </c>
      <c r="J20" s="39" t="s">
        <v>20</v>
      </c>
      <c r="K20" t="s">
        <v>12</v>
      </c>
      <c r="L20" s="44" t="s">
        <v>26</v>
      </c>
      <c r="M20" s="1"/>
    </row>
    <row r="21" spans="1:13" ht="16" thickBot="1" x14ac:dyDescent="0.25">
      <c r="A21" s="31" t="s">
        <v>34</v>
      </c>
      <c r="B21" s="36" t="s">
        <v>19</v>
      </c>
      <c r="C21" s="37" t="s">
        <v>13</v>
      </c>
      <c r="D21" s="41" t="s">
        <v>20</v>
      </c>
      <c r="E21" s="37" t="s">
        <v>16</v>
      </c>
      <c r="F21" s="37">
        <v>764</v>
      </c>
      <c r="G21" s="37" t="s">
        <v>18</v>
      </c>
      <c r="H21" s="37" t="s">
        <v>15</v>
      </c>
      <c r="I21" s="37" t="s">
        <v>14</v>
      </c>
      <c r="J21" s="37" t="s">
        <v>12</v>
      </c>
      <c r="K21" s="37" t="s">
        <v>17</v>
      </c>
      <c r="L21" s="37"/>
      <c r="M21" s="47"/>
    </row>
    <row r="25" spans="1:13" ht="16" thickBot="1" x14ac:dyDescent="0.25">
      <c r="B25" s="32">
        <v>1</v>
      </c>
      <c r="C25" s="32">
        <v>2</v>
      </c>
      <c r="D25" s="32">
        <v>3</v>
      </c>
      <c r="E25" s="32">
        <v>4</v>
      </c>
      <c r="F25" s="32">
        <v>5</v>
      </c>
      <c r="G25" s="32">
        <v>6</v>
      </c>
      <c r="H25" s="32">
        <v>7</v>
      </c>
      <c r="I25" s="32">
        <v>8</v>
      </c>
      <c r="J25" s="32">
        <v>9</v>
      </c>
      <c r="K25" s="32">
        <v>10</v>
      </c>
      <c r="L25" s="32">
        <v>11</v>
      </c>
      <c r="M25" s="32">
        <v>12</v>
      </c>
    </row>
    <row r="26" spans="1:13" x14ac:dyDescent="0.2">
      <c r="A26" s="31" t="s">
        <v>25</v>
      </c>
      <c r="B26" s="33" t="s">
        <v>15</v>
      </c>
      <c r="C26" s="34" t="s">
        <v>12</v>
      </c>
      <c r="D26" s="34" t="s">
        <v>14</v>
      </c>
      <c r="E26" s="38" t="s">
        <v>20</v>
      </c>
      <c r="F26" s="34" t="s">
        <v>19</v>
      </c>
      <c r="G26" s="34" t="s">
        <v>17</v>
      </c>
      <c r="H26" s="34" t="s">
        <v>16</v>
      </c>
      <c r="I26" s="34" t="s">
        <v>18</v>
      </c>
      <c r="J26" s="34" t="s">
        <v>13</v>
      </c>
      <c r="K26" s="34">
        <v>764</v>
      </c>
      <c r="L26" s="34"/>
      <c r="M26" s="45"/>
    </row>
    <row r="27" spans="1:13" x14ac:dyDescent="0.2">
      <c r="A27" s="31" t="s">
        <v>27</v>
      </c>
      <c r="B27" s="35" t="s">
        <v>19</v>
      </c>
      <c r="C27" t="s">
        <v>14</v>
      </c>
      <c r="D27" t="s">
        <v>18</v>
      </c>
      <c r="E27" t="s">
        <v>17</v>
      </c>
      <c r="F27" t="s">
        <v>15</v>
      </c>
      <c r="G27" s="39" t="s">
        <v>20</v>
      </c>
      <c r="H27" t="s">
        <v>16</v>
      </c>
      <c r="I27">
        <v>764</v>
      </c>
      <c r="J27" t="s">
        <v>12</v>
      </c>
      <c r="K27" t="s">
        <v>13</v>
      </c>
      <c r="M27" s="46"/>
    </row>
    <row r="28" spans="1:13" x14ac:dyDescent="0.2">
      <c r="A28" s="31" t="s">
        <v>28</v>
      </c>
      <c r="B28" s="35" t="s">
        <v>14</v>
      </c>
      <c r="C28" t="s">
        <v>18</v>
      </c>
      <c r="D28">
        <v>764</v>
      </c>
      <c r="E28" t="s">
        <v>12</v>
      </c>
      <c r="F28" t="s">
        <v>16</v>
      </c>
      <c r="G28" s="39" t="s">
        <v>20</v>
      </c>
      <c r="H28" t="s">
        <v>17</v>
      </c>
      <c r="I28" t="s">
        <v>15</v>
      </c>
      <c r="J28" t="s">
        <v>13</v>
      </c>
      <c r="K28" t="s">
        <v>19</v>
      </c>
      <c r="L28" s="44" t="s">
        <v>26</v>
      </c>
      <c r="M28" s="46"/>
    </row>
    <row r="29" spans="1:13" ht="14.5" customHeight="1" x14ac:dyDescent="0.2">
      <c r="A29" s="31" t="s">
        <v>29</v>
      </c>
      <c r="B29" s="35" t="s">
        <v>19</v>
      </c>
      <c r="C29" t="s">
        <v>14</v>
      </c>
      <c r="D29" t="s">
        <v>13</v>
      </c>
      <c r="E29" t="s">
        <v>12</v>
      </c>
      <c r="F29" t="s">
        <v>15</v>
      </c>
      <c r="G29" s="39" t="s">
        <v>20</v>
      </c>
      <c r="H29">
        <v>764</v>
      </c>
      <c r="I29" t="s">
        <v>16</v>
      </c>
      <c r="J29" t="s">
        <v>18</v>
      </c>
      <c r="K29" t="s">
        <v>17</v>
      </c>
      <c r="M29" s="46"/>
    </row>
    <row r="30" spans="1:13" x14ac:dyDescent="0.2">
      <c r="A30" s="31" t="s">
        <v>30</v>
      </c>
      <c r="B30" s="35" t="s">
        <v>12</v>
      </c>
      <c r="C30" t="s">
        <v>14</v>
      </c>
      <c r="D30">
        <v>764</v>
      </c>
      <c r="E30" t="s">
        <v>16</v>
      </c>
      <c r="F30" t="s">
        <v>19</v>
      </c>
      <c r="G30" t="s">
        <v>18</v>
      </c>
      <c r="H30" t="s">
        <v>15</v>
      </c>
      <c r="I30" s="39" t="s">
        <v>20</v>
      </c>
      <c r="J30" t="s">
        <v>13</v>
      </c>
      <c r="K30" t="s">
        <v>17</v>
      </c>
      <c r="M30" s="46"/>
    </row>
    <row r="31" spans="1:13" x14ac:dyDescent="0.2">
      <c r="A31" s="31" t="s">
        <v>31</v>
      </c>
      <c r="B31" s="35" t="s">
        <v>12</v>
      </c>
      <c r="C31" t="s">
        <v>16</v>
      </c>
      <c r="D31" t="s">
        <v>18</v>
      </c>
      <c r="E31" t="s">
        <v>17</v>
      </c>
      <c r="F31">
        <v>764</v>
      </c>
      <c r="G31" t="s">
        <v>19</v>
      </c>
      <c r="H31" t="s">
        <v>14</v>
      </c>
      <c r="I31" t="s">
        <v>13</v>
      </c>
      <c r="J31" s="39" t="s">
        <v>20</v>
      </c>
      <c r="K31" t="s">
        <v>15</v>
      </c>
    </row>
    <row r="32" spans="1:13" x14ac:dyDescent="0.2">
      <c r="A32" s="31" t="s">
        <v>33</v>
      </c>
      <c r="B32" s="35">
        <v>764</v>
      </c>
      <c r="C32" t="s">
        <v>18</v>
      </c>
      <c r="D32" t="s">
        <v>13</v>
      </c>
      <c r="E32" t="s">
        <v>17</v>
      </c>
      <c r="F32" s="39" t="s">
        <v>20</v>
      </c>
      <c r="G32" t="s">
        <v>14</v>
      </c>
      <c r="H32" t="s">
        <v>12</v>
      </c>
      <c r="I32" t="s">
        <v>15</v>
      </c>
      <c r="J32" t="s">
        <v>16</v>
      </c>
      <c r="K32" t="s">
        <v>19</v>
      </c>
      <c r="M32" s="44" t="s">
        <v>32</v>
      </c>
    </row>
    <row r="33" spans="1:13" ht="16" thickBot="1" x14ac:dyDescent="0.25">
      <c r="A33" s="31" t="s">
        <v>34</v>
      </c>
      <c r="B33" s="36" t="s">
        <v>18</v>
      </c>
      <c r="C33" s="37" t="s">
        <v>12</v>
      </c>
      <c r="D33" s="37" t="s">
        <v>13</v>
      </c>
      <c r="E33" s="37" t="s">
        <v>14</v>
      </c>
      <c r="F33" s="37" t="s">
        <v>15</v>
      </c>
      <c r="G33" s="41" t="s">
        <v>20</v>
      </c>
      <c r="H33" s="37">
        <v>764</v>
      </c>
      <c r="I33" s="37" t="s">
        <v>17</v>
      </c>
      <c r="J33" s="37" t="s">
        <v>19</v>
      </c>
      <c r="K33" s="37" t="s">
        <v>16</v>
      </c>
      <c r="L33" s="37"/>
      <c r="M33" s="1"/>
    </row>
    <row r="37" spans="1:13" ht="16" thickBot="1" x14ac:dyDescent="0.25">
      <c r="B37" s="32">
        <v>1</v>
      </c>
      <c r="C37" s="32">
        <v>2</v>
      </c>
      <c r="D37" s="32">
        <v>3</v>
      </c>
      <c r="E37" s="32">
        <v>4</v>
      </c>
      <c r="F37" s="32">
        <v>5</v>
      </c>
      <c r="G37" s="32">
        <v>6</v>
      </c>
      <c r="H37" s="32">
        <v>7</v>
      </c>
      <c r="I37" s="32">
        <v>8</v>
      </c>
      <c r="J37" s="32">
        <v>9</v>
      </c>
      <c r="K37" s="32">
        <v>10</v>
      </c>
      <c r="L37" s="32">
        <v>11</v>
      </c>
      <c r="M37" s="32">
        <v>12</v>
      </c>
    </row>
    <row r="38" spans="1:13" x14ac:dyDescent="0.2">
      <c r="A38" s="31" t="s">
        <v>25</v>
      </c>
      <c r="B38" s="33" t="s">
        <v>15</v>
      </c>
      <c r="C38" s="34" t="s">
        <v>17</v>
      </c>
      <c r="D38" s="34" t="s">
        <v>13</v>
      </c>
      <c r="E38" s="38" t="s">
        <v>20</v>
      </c>
      <c r="F38" s="34" t="s">
        <v>16</v>
      </c>
      <c r="G38" s="34">
        <v>764</v>
      </c>
      <c r="H38" s="34" t="s">
        <v>18</v>
      </c>
      <c r="I38" s="34" t="s">
        <v>19</v>
      </c>
      <c r="J38" s="34" t="s">
        <v>14</v>
      </c>
      <c r="K38" s="34" t="s">
        <v>12</v>
      </c>
      <c r="L38" s="34"/>
      <c r="M38" s="45"/>
    </row>
    <row r="39" spans="1:13" x14ac:dyDescent="0.2">
      <c r="A39" s="31" t="s">
        <v>27</v>
      </c>
      <c r="B39" s="35" t="s">
        <v>13</v>
      </c>
      <c r="C39" t="s">
        <v>16</v>
      </c>
      <c r="D39" t="s">
        <v>14</v>
      </c>
      <c r="E39" t="s">
        <v>18</v>
      </c>
      <c r="F39">
        <v>764</v>
      </c>
      <c r="G39" t="s">
        <v>12</v>
      </c>
      <c r="H39" t="s">
        <v>17</v>
      </c>
      <c r="I39" s="39" t="s">
        <v>20</v>
      </c>
      <c r="J39" t="s">
        <v>15</v>
      </c>
      <c r="K39" t="s">
        <v>19</v>
      </c>
      <c r="L39" s="44" t="s">
        <v>32</v>
      </c>
      <c r="M39" s="46"/>
    </row>
    <row r="40" spans="1:13" x14ac:dyDescent="0.2">
      <c r="A40" s="31" t="s">
        <v>28</v>
      </c>
      <c r="B40" s="35" t="s">
        <v>16</v>
      </c>
      <c r="C40">
        <v>764</v>
      </c>
      <c r="D40" t="s">
        <v>19</v>
      </c>
      <c r="E40" t="s">
        <v>17</v>
      </c>
      <c r="F40" t="s">
        <v>12</v>
      </c>
      <c r="G40" t="s">
        <v>18</v>
      </c>
      <c r="H40" s="39" t="s">
        <v>20</v>
      </c>
      <c r="I40" t="s">
        <v>13</v>
      </c>
      <c r="J40" t="s">
        <v>14</v>
      </c>
      <c r="K40" t="s">
        <v>15</v>
      </c>
      <c r="M40" s="46"/>
    </row>
    <row r="41" spans="1:13" x14ac:dyDescent="0.2">
      <c r="A41" s="31" t="s">
        <v>29</v>
      </c>
      <c r="B41" s="35">
        <v>764</v>
      </c>
      <c r="C41" t="s">
        <v>15</v>
      </c>
      <c r="D41" t="s">
        <v>13</v>
      </c>
      <c r="E41" t="s">
        <v>19</v>
      </c>
      <c r="F41" t="s">
        <v>18</v>
      </c>
      <c r="G41" t="s">
        <v>16</v>
      </c>
      <c r="H41" t="s">
        <v>14</v>
      </c>
      <c r="I41" t="s">
        <v>17</v>
      </c>
      <c r="J41" s="39" t="s">
        <v>20</v>
      </c>
      <c r="K41" t="s">
        <v>12</v>
      </c>
      <c r="M41" s="46"/>
    </row>
    <row r="42" spans="1:13" x14ac:dyDescent="0.2">
      <c r="A42" s="31" t="s">
        <v>30</v>
      </c>
      <c r="B42" s="35" t="s">
        <v>14</v>
      </c>
      <c r="C42" t="s">
        <v>13</v>
      </c>
      <c r="D42" t="s">
        <v>12</v>
      </c>
      <c r="E42" t="s">
        <v>16</v>
      </c>
      <c r="F42" s="39" t="s">
        <v>20</v>
      </c>
      <c r="G42" t="s">
        <v>17</v>
      </c>
      <c r="H42" t="s">
        <v>15</v>
      </c>
      <c r="I42" t="s">
        <v>19</v>
      </c>
      <c r="J42">
        <v>764</v>
      </c>
      <c r="K42" t="s">
        <v>18</v>
      </c>
      <c r="M42" s="44" t="s">
        <v>26</v>
      </c>
    </row>
    <row r="43" spans="1:13" x14ac:dyDescent="0.2">
      <c r="A43" s="31" t="s">
        <v>31</v>
      </c>
      <c r="B43" s="35" t="s">
        <v>17</v>
      </c>
      <c r="C43" t="s">
        <v>18</v>
      </c>
      <c r="D43" s="39" t="s">
        <v>20</v>
      </c>
      <c r="E43" t="s">
        <v>14</v>
      </c>
      <c r="F43" t="s">
        <v>19</v>
      </c>
      <c r="G43">
        <v>764</v>
      </c>
      <c r="H43" t="s">
        <v>13</v>
      </c>
      <c r="I43" t="s">
        <v>12</v>
      </c>
      <c r="J43" t="s">
        <v>15</v>
      </c>
      <c r="K43" t="s">
        <v>16</v>
      </c>
      <c r="L43" s="1"/>
      <c r="M43" s="46"/>
    </row>
    <row r="44" spans="1:13" x14ac:dyDescent="0.2">
      <c r="A44" s="31" t="s">
        <v>33</v>
      </c>
      <c r="B44" s="35">
        <v>764</v>
      </c>
      <c r="C44" t="s">
        <v>17</v>
      </c>
      <c r="D44" t="s">
        <v>15</v>
      </c>
      <c r="E44" t="s">
        <v>18</v>
      </c>
      <c r="F44" t="s">
        <v>16</v>
      </c>
      <c r="G44" s="39" t="s">
        <v>20</v>
      </c>
      <c r="H44" t="s">
        <v>13</v>
      </c>
      <c r="I44" t="s">
        <v>14</v>
      </c>
      <c r="J44" t="s">
        <v>12</v>
      </c>
      <c r="K44" t="s">
        <v>19</v>
      </c>
      <c r="M44" s="46"/>
    </row>
    <row r="45" spans="1:13" ht="16" thickBot="1" x14ac:dyDescent="0.25">
      <c r="A45" s="31" t="s">
        <v>34</v>
      </c>
      <c r="B45" s="36" t="s">
        <v>17</v>
      </c>
      <c r="C45" s="37" t="s">
        <v>15</v>
      </c>
      <c r="D45" s="37" t="s">
        <v>16</v>
      </c>
      <c r="E45" s="37" t="s">
        <v>13</v>
      </c>
      <c r="F45" s="37" t="s">
        <v>14</v>
      </c>
      <c r="G45" s="37" t="s">
        <v>19</v>
      </c>
      <c r="H45" s="37">
        <v>764</v>
      </c>
      <c r="I45" s="37" t="s">
        <v>18</v>
      </c>
      <c r="J45" s="37" t="s">
        <v>12</v>
      </c>
      <c r="K45" s="41" t="s">
        <v>20</v>
      </c>
    </row>
    <row r="47" spans="1:13" ht="16" thickBot="1" x14ac:dyDescent="0.25">
      <c r="B47" s="32">
        <v>1</v>
      </c>
      <c r="C47" s="32">
        <v>2</v>
      </c>
      <c r="D47" s="32">
        <v>3</v>
      </c>
      <c r="E47" s="32">
        <v>4</v>
      </c>
      <c r="F47" s="32">
        <v>5</v>
      </c>
      <c r="G47" s="32">
        <v>6</v>
      </c>
      <c r="H47" s="32">
        <v>7</v>
      </c>
      <c r="I47" s="32">
        <v>8</v>
      </c>
      <c r="J47" s="32">
        <v>9</v>
      </c>
      <c r="K47" s="32">
        <v>10</v>
      </c>
      <c r="L47" s="32">
        <v>11</v>
      </c>
      <c r="M47" s="32">
        <v>12</v>
      </c>
    </row>
    <row r="48" spans="1:13" x14ac:dyDescent="0.2">
      <c r="A48" s="31" t="s">
        <v>25</v>
      </c>
      <c r="B48" s="33" t="s">
        <v>12</v>
      </c>
      <c r="C48" s="34" t="s">
        <v>19</v>
      </c>
      <c r="D48" s="34" t="s">
        <v>13</v>
      </c>
      <c r="E48" s="34" t="s">
        <v>15</v>
      </c>
      <c r="F48" s="38" t="s">
        <v>20</v>
      </c>
      <c r="G48" s="34">
        <v>764</v>
      </c>
      <c r="H48" s="34" t="s">
        <v>17</v>
      </c>
      <c r="I48" s="34" t="s">
        <v>14</v>
      </c>
      <c r="J48" s="34" t="s">
        <v>18</v>
      </c>
      <c r="K48" s="34" t="s">
        <v>16</v>
      </c>
      <c r="L48" s="34"/>
      <c r="M48" s="45"/>
    </row>
    <row r="49" spans="1:15" x14ac:dyDescent="0.2">
      <c r="A49" s="31" t="s">
        <v>27</v>
      </c>
      <c r="B49" s="35">
        <v>764</v>
      </c>
      <c r="C49" t="s">
        <v>12</v>
      </c>
      <c r="D49" t="s">
        <v>13</v>
      </c>
      <c r="E49" t="s">
        <v>17</v>
      </c>
      <c r="F49" t="s">
        <v>19</v>
      </c>
      <c r="G49" t="s">
        <v>15</v>
      </c>
      <c r="H49" t="s">
        <v>14</v>
      </c>
      <c r="I49" t="s">
        <v>18</v>
      </c>
      <c r="J49" s="39" t="s">
        <v>20</v>
      </c>
      <c r="K49" t="s">
        <v>16</v>
      </c>
      <c r="M49" s="46"/>
    </row>
    <row r="50" spans="1:15" x14ac:dyDescent="0.2">
      <c r="A50" s="31" t="s">
        <v>28</v>
      </c>
      <c r="B50" s="35" t="s">
        <v>19</v>
      </c>
      <c r="C50">
        <v>764</v>
      </c>
      <c r="D50" t="s">
        <v>17</v>
      </c>
      <c r="E50" t="s">
        <v>15</v>
      </c>
      <c r="F50" t="s">
        <v>16</v>
      </c>
      <c r="G50" t="s">
        <v>13</v>
      </c>
      <c r="H50" t="s">
        <v>14</v>
      </c>
      <c r="I50" s="39" t="s">
        <v>20</v>
      </c>
      <c r="J50" t="s">
        <v>18</v>
      </c>
      <c r="K50" t="s">
        <v>12</v>
      </c>
      <c r="L50" s="44" t="s">
        <v>26</v>
      </c>
      <c r="M50" s="46"/>
    </row>
    <row r="51" spans="1:15" x14ac:dyDescent="0.2">
      <c r="A51" s="31" t="s">
        <v>29</v>
      </c>
      <c r="B51" s="35" t="s">
        <v>16</v>
      </c>
      <c r="C51" t="s">
        <v>15</v>
      </c>
      <c r="D51" t="s">
        <v>14</v>
      </c>
      <c r="E51" t="s">
        <v>18</v>
      </c>
      <c r="F51" s="39" t="s">
        <v>20</v>
      </c>
      <c r="G51" t="s">
        <v>19</v>
      </c>
      <c r="H51">
        <v>764</v>
      </c>
      <c r="I51" t="s">
        <v>13</v>
      </c>
      <c r="J51" t="s">
        <v>12</v>
      </c>
      <c r="K51" t="s">
        <v>17</v>
      </c>
      <c r="M51" s="46"/>
    </row>
    <row r="52" spans="1:15" x14ac:dyDescent="0.2">
      <c r="A52" s="31" t="s">
        <v>30</v>
      </c>
      <c r="B52" s="35" t="s">
        <v>12</v>
      </c>
      <c r="C52">
        <v>764</v>
      </c>
      <c r="D52" t="s">
        <v>19</v>
      </c>
      <c r="E52" t="s">
        <v>17</v>
      </c>
      <c r="F52" t="s">
        <v>18</v>
      </c>
      <c r="G52" t="s">
        <v>14</v>
      </c>
      <c r="H52" t="s">
        <v>15</v>
      </c>
      <c r="I52" t="s">
        <v>13</v>
      </c>
      <c r="J52" t="s">
        <v>16</v>
      </c>
      <c r="K52" s="39" t="s">
        <v>20</v>
      </c>
      <c r="M52" s="46"/>
    </row>
    <row r="53" spans="1:15" x14ac:dyDescent="0.2">
      <c r="A53" s="31" t="s">
        <v>31</v>
      </c>
      <c r="B53" s="43" t="s">
        <v>20</v>
      </c>
      <c r="C53" t="s">
        <v>15</v>
      </c>
      <c r="D53" t="s">
        <v>16</v>
      </c>
      <c r="E53" t="s">
        <v>19</v>
      </c>
      <c r="F53" t="s">
        <v>17</v>
      </c>
      <c r="G53">
        <v>764</v>
      </c>
      <c r="H53" t="s">
        <v>12</v>
      </c>
      <c r="I53" t="s">
        <v>13</v>
      </c>
      <c r="J53" t="s">
        <v>18</v>
      </c>
      <c r="K53" t="s">
        <v>14</v>
      </c>
      <c r="M53" s="46"/>
    </row>
    <row r="54" spans="1:15" x14ac:dyDescent="0.2">
      <c r="A54" s="31" t="s">
        <v>33</v>
      </c>
      <c r="M54" s="46"/>
    </row>
    <row r="55" spans="1:15" ht="16" thickBot="1" x14ac:dyDescent="0.25">
      <c r="A55" s="31" t="s">
        <v>34</v>
      </c>
      <c r="B55" s="36"/>
      <c r="C55" s="37"/>
      <c r="D55" s="37"/>
      <c r="E55" s="48" t="s">
        <v>32</v>
      </c>
      <c r="F55" s="37"/>
      <c r="G55" s="37"/>
      <c r="H55" s="37"/>
      <c r="I55" s="37"/>
      <c r="J55" s="37"/>
      <c r="K55" s="37"/>
      <c r="L55" s="37"/>
      <c r="M55" s="47"/>
    </row>
    <row r="57" spans="1:15" x14ac:dyDescent="0.2">
      <c r="B57" s="1" t="s">
        <v>14</v>
      </c>
      <c r="C57" s="1" t="s">
        <v>14</v>
      </c>
      <c r="D57" s="1" t="s">
        <v>12</v>
      </c>
      <c r="E57" s="1" t="s">
        <v>12</v>
      </c>
    </row>
    <row r="58" spans="1:15" x14ac:dyDescent="0.2">
      <c r="A58" s="1"/>
      <c r="B58" s="1" t="s">
        <v>15</v>
      </c>
      <c r="C58" s="1" t="s">
        <v>15</v>
      </c>
      <c r="D58" s="1" t="s">
        <v>19</v>
      </c>
      <c r="E58" s="1" t="s">
        <v>19</v>
      </c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x14ac:dyDescent="0.2">
      <c r="B59" s="1" t="s">
        <v>16</v>
      </c>
      <c r="C59" s="1" t="s">
        <v>16</v>
      </c>
      <c r="D59" s="1" t="s">
        <v>18</v>
      </c>
      <c r="E59" s="1" t="s">
        <v>18</v>
      </c>
    </row>
    <row r="60" spans="1:15" x14ac:dyDescent="0.2">
      <c r="A60" s="1"/>
      <c r="B60" s="1" t="s">
        <v>13</v>
      </c>
      <c r="C60" s="1" t="s">
        <v>13</v>
      </c>
      <c r="D60" s="42" t="s">
        <v>20</v>
      </c>
      <c r="E60" s="42" t="s">
        <v>20</v>
      </c>
      <c r="F60" s="1"/>
      <c r="G60" s="1"/>
      <c r="H60" s="1"/>
    </row>
    <row r="61" spans="1:15" x14ac:dyDescent="0.2">
      <c r="B61" s="1">
        <v>764</v>
      </c>
      <c r="C61" s="1">
        <v>764</v>
      </c>
    </row>
    <row r="62" spans="1:15" x14ac:dyDescent="0.2">
      <c r="B62" s="1" t="s">
        <v>17</v>
      </c>
      <c r="C62" s="1" t="s">
        <v>17</v>
      </c>
    </row>
  </sheetData>
  <phoneticPr fontId="1" type="noConversion"/>
  <conditionalFormatting sqref="O12">
    <cfRule type="expression" dxfId="13" priority="14">
      <formula>A1="PHG47"</formula>
    </cfRule>
  </conditionalFormatting>
  <conditionalFormatting sqref="A70:XFD1048576 A67:H69 D57:XFD59 D60:H66 K60:XFD69 A1:XFD56 A57:C62 A63:A66 D57:E60">
    <cfRule type="expression" dxfId="12" priority="4">
      <formula>A1="LH60"</formula>
    </cfRule>
    <cfRule type="expression" dxfId="11" priority="5">
      <formula>A1="PHG35"</formula>
    </cfRule>
    <cfRule type="expression" dxfId="10" priority="6">
      <formula>A1="PHG39"</formula>
    </cfRule>
    <cfRule type="expression" dxfId="9" priority="7">
      <formula>A1="NC262"</formula>
    </cfRule>
    <cfRule type="expression" dxfId="8" priority="9">
      <formula>A1="B57"</formula>
    </cfRule>
    <cfRule type="expression" dxfId="7" priority="10">
      <formula>A1="A554"</formula>
    </cfRule>
    <cfRule type="expression" dxfId="6" priority="11">
      <formula>A1="HP301"</formula>
    </cfRule>
    <cfRule type="expression" dxfId="5" priority="12">
      <formula>A1="764"</formula>
    </cfRule>
    <cfRule type="expression" dxfId="4" priority="13">
      <formula>A1="PHG47"</formula>
    </cfRule>
  </conditionalFormatting>
  <conditionalFormatting sqref="Q1:R2">
    <cfRule type="expression" dxfId="3" priority="3">
      <formula>A1="NC262"</formula>
    </cfRule>
  </conditionalFormatting>
  <conditionalFormatting sqref="A1:XFD1048576">
    <cfRule type="expression" dxfId="2" priority="2">
      <formula>A1="LH60"</formula>
    </cfRule>
    <cfRule type="expression" dxfId="1" priority="1">
      <formula>A1="NC262"</formula>
    </cfRule>
  </conditionalFormatting>
  <pageMargins left="0.7" right="0.7" top="0.75" bottom="0.75" header="0.3" footer="0.3"/>
  <pageSetup orientation="landscape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D9F36DEDE7E942AEA3B296DCE78844" ma:contentTypeVersion="1" ma:contentTypeDescription="Create a new document." ma:contentTypeScope="" ma:versionID="7bed6ec995c35dbfa68ded2682e4b679">
  <xsd:schema xmlns:xsd="http://www.w3.org/2001/XMLSchema" xmlns:xs="http://www.w3.org/2001/XMLSchema" xmlns:p="http://schemas.microsoft.com/office/2006/metadata/properties" xmlns:ns3="dfc9f6d1-7400-4abd-9ffe-caee73ae93b3" targetNamespace="http://schemas.microsoft.com/office/2006/metadata/properties" ma:root="true" ma:fieldsID="f3cdc5000c06d69e9fcb2a6ab660af70" ns3:_="">
    <xsd:import namespace="dfc9f6d1-7400-4abd-9ffe-caee73ae93b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c9f6d1-7400-4abd-9ffe-caee73ae93b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D2F03B9-B8A5-4A62-8872-5CDA636615A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0FC253-B5E3-42F4-8ECB-2E34A185BF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c9f6d1-7400-4abd-9ffe-caee73ae93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A928B92-52AB-43DF-A953-D982829A0BF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Calcs</vt:lpstr>
      <vt:lpstr>Wells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Igwilo, Favor</dc:creator>
  <cp:keywords/>
  <dc:description/>
  <cp:lastModifiedBy>Bo Peng</cp:lastModifiedBy>
  <cp:revision/>
  <cp:lastPrinted>2025-06-17T17:02:05Z</cp:lastPrinted>
  <dcterms:created xsi:type="dcterms:W3CDTF">2025-06-13T17:19:56Z</dcterms:created>
  <dcterms:modified xsi:type="dcterms:W3CDTF">2025-06-17T17:10:19Z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0x0101003DD9F36DEDE7E942AEA3B296DCE78844</vt:lpwstr>
  </property>
</Properties>
</file>