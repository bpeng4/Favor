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openg/Documents/Favor/Documents/"/>
    </mc:Choice>
  </mc:AlternateContent>
  <xr:revisionPtr revIDLastSave="0" documentId="13_ncr:1_{EFEC5C8F-F203-CA44-82F2-2D2E8BAAF166}" xr6:coauthVersionLast="47" xr6:coauthVersionMax="47" xr10:uidLastSave="{00000000-0000-0000-0000-000000000000}"/>
  <bookViews>
    <workbookView xWindow="-24720" yWindow="-21100" windowWidth="38400" windowHeight="21100" firstSheet="3" activeTab="3" xr2:uid="{30C38821-E518-4E3E-9F41-1DAEEF1C4DDE}"/>
  </bookViews>
  <sheets>
    <sheet name="Calcs" sheetId="2" r:id="rId1"/>
    <sheet name="Wells" sheetId="4" r:id="rId2"/>
    <sheet name="WELLS to print" sheetId="5" r:id="rId3"/>
    <sheet name="Microbiome Randomized" sheetId="6" r:id="rId4"/>
    <sheet name="Copy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6" l="1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S93" i="6" a="1"/>
  <c r="S93" i="6" s="1"/>
  <c r="S83" i="6" a="1"/>
  <c r="S83" i="6" s="1"/>
  <c r="S82" i="6" a="1"/>
  <c r="S82" i="6"/>
  <c r="S72" i="6" a="1"/>
  <c r="S72" i="6" s="1"/>
  <c r="S71" i="6" a="1"/>
  <c r="S71" i="6" s="1"/>
  <c r="S61" i="6" a="1"/>
  <c r="S61" i="6" s="1"/>
  <c r="S59" i="6" a="1"/>
  <c r="S59" i="6" s="1"/>
  <c r="S49" i="6" a="1"/>
  <c r="S49" i="6" s="1"/>
  <c r="S47" i="6" a="1"/>
  <c r="S47" i="6" s="1"/>
  <c r="S37" i="6" a="1"/>
  <c r="S37" i="6" s="1"/>
  <c r="S35" i="6" a="1"/>
  <c r="S35" i="6" s="1"/>
  <c r="S25" i="6" a="1"/>
  <c r="S25" i="6" s="1"/>
  <c r="S23" i="6" a="1"/>
  <c r="S23" i="6" s="1"/>
  <c r="T13" i="6"/>
  <c r="T14" i="6"/>
  <c r="T15" i="6"/>
  <c r="T16" i="6"/>
  <c r="T17" i="6"/>
  <c r="T18" i="6"/>
  <c r="T19" i="6"/>
  <c r="T20" i="6"/>
  <c r="T21" i="6"/>
  <c r="T22" i="6"/>
  <c r="S13" i="6" a="1"/>
  <c r="S13" i="6" s="1"/>
  <c r="T11" i="6"/>
  <c r="T12" i="6"/>
  <c r="S11" i="6" a="1"/>
  <c r="S11" i="6" s="1"/>
  <c r="T2" i="6"/>
  <c r="T3" i="6"/>
  <c r="T4" i="6"/>
  <c r="T5" i="6"/>
  <c r="T6" i="6"/>
  <c r="T7" i="6"/>
  <c r="T8" i="6"/>
  <c r="T9" i="6"/>
  <c r="T10" i="6"/>
  <c r="T1" i="6"/>
  <c r="S1" i="6" a="1"/>
  <c r="S1" i="6" s="1"/>
  <c r="O7" i="2"/>
  <c r="O6" i="2"/>
  <c r="O4" i="2"/>
  <c r="O8" i="2"/>
  <c r="O10" i="2"/>
  <c r="O11" i="2"/>
  <c r="O9" i="2"/>
  <c r="O5" i="2"/>
  <c r="O3" i="2"/>
  <c r="M7" i="2"/>
  <c r="M6" i="2"/>
  <c r="M4" i="2"/>
  <c r="M8" i="2"/>
  <c r="M10" i="2"/>
  <c r="M11" i="2"/>
  <c r="M9" i="2"/>
  <c r="M5" i="2"/>
  <c r="M2" i="2"/>
  <c r="M3" i="2"/>
  <c r="O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<sst xmlns="http://schemas.openxmlformats.org/spreadsheetml/2006/main" count="1954" uniqueCount="156">
  <si>
    <t>REP</t>
  </si>
  <si>
    <t>SAMPLE</t>
  </si>
  <si>
    <t>Order</t>
  </si>
  <si>
    <t>Random</t>
  </si>
  <si>
    <t>19 Microbiomes</t>
  </si>
  <si>
    <t>10 seeds</t>
  </si>
  <si>
    <t>2 repetitions</t>
  </si>
  <si>
    <t>=</t>
  </si>
  <si>
    <t>380 experiments</t>
  </si>
  <si>
    <t>%</t>
  </si>
  <si>
    <t>96 wells in one microplate</t>
  </si>
  <si>
    <t>4 microplates</t>
  </si>
  <si>
    <t>NC262</t>
  </si>
  <si>
    <t>PHG35</t>
  </si>
  <si>
    <t>B57</t>
  </si>
  <si>
    <t>A554</t>
  </si>
  <si>
    <t>LH60</t>
  </si>
  <si>
    <t>PHG47</t>
  </si>
  <si>
    <t>PHG39</t>
  </si>
  <si>
    <t>HP301</t>
  </si>
  <si>
    <t>FBB0</t>
  </si>
  <si>
    <t>10 mg of each seed pericarp in each plate</t>
  </si>
  <si>
    <t>*</t>
  </si>
  <si>
    <t>20 spaces</t>
  </si>
  <si>
    <t>400 mg of each seed (minimum)</t>
  </si>
  <si>
    <t>B57_1</t>
  </si>
  <si>
    <t>B57_2</t>
  </si>
  <si>
    <t>A</t>
  </si>
  <si>
    <t>PHG47_1</t>
  </si>
  <si>
    <t>764_1</t>
  </si>
  <si>
    <t>HP301_1</t>
  </si>
  <si>
    <t>PHG39_1</t>
  </si>
  <si>
    <t>A554_1</t>
  </si>
  <si>
    <t>PHG35_1</t>
  </si>
  <si>
    <t>FBB0_1</t>
  </si>
  <si>
    <t>NC262_1</t>
  </si>
  <si>
    <t>LH60_1</t>
  </si>
  <si>
    <t>A554_2</t>
  </si>
  <si>
    <t>B</t>
  </si>
  <si>
    <t>LH60_2</t>
  </si>
  <si>
    <t>C</t>
  </si>
  <si>
    <t>PHG35_2</t>
  </si>
  <si>
    <t>D</t>
  </si>
  <si>
    <t>764_2</t>
  </si>
  <si>
    <t>E</t>
  </si>
  <si>
    <t>PHG47_2</t>
  </si>
  <si>
    <t>F</t>
  </si>
  <si>
    <t>PCRNC</t>
  </si>
  <si>
    <t>DNANC</t>
  </si>
  <si>
    <t>NC262_2</t>
  </si>
  <si>
    <t>G</t>
  </si>
  <si>
    <t>HP301_2</t>
  </si>
  <si>
    <t>H</t>
  </si>
  <si>
    <t>PHG39_2</t>
  </si>
  <si>
    <t>FBB0_2</t>
  </si>
  <si>
    <t>Equation Used: TRANSPOSE(SORTBY($AA$1:$AA$10, RANDARRAY(10)))  and for the 5 by 2 WRAPROWS(TRANSPOSE(SORTBY($AA$1:$AA$10, RANDARRAY(10))), 2)</t>
  </si>
  <si>
    <t>Once randomized, copy all values then ctrl, alt, v the lock the values</t>
  </si>
  <si>
    <t xml:space="preserve">Removed: </t>
  </si>
  <si>
    <t>then replaced with needed control</t>
  </si>
  <si>
    <t>Well 1</t>
  </si>
  <si>
    <t>Well 2</t>
  </si>
  <si>
    <t>Well 3</t>
  </si>
  <si>
    <t>Well 4</t>
  </si>
  <si>
    <t>M1_1</t>
  </si>
  <si>
    <t>M20_1</t>
  </si>
  <si>
    <t>M12_2</t>
  </si>
  <si>
    <t>M22_1</t>
  </si>
  <si>
    <t>M3_2</t>
  </si>
  <si>
    <t>M24_1</t>
  </si>
  <si>
    <t>M15_2</t>
  </si>
  <si>
    <t>M14_1</t>
  </si>
  <si>
    <t>M9_1</t>
  </si>
  <si>
    <t>M7_1</t>
  </si>
  <si>
    <t>M2_1</t>
  </si>
  <si>
    <t>M4_1</t>
  </si>
  <si>
    <t>M18_1</t>
  </si>
  <si>
    <t>M9_2</t>
  </si>
  <si>
    <t>M19_2</t>
  </si>
  <si>
    <t>M3_1</t>
  </si>
  <si>
    <t>M12_1</t>
  </si>
  <si>
    <t>M5_2</t>
  </si>
  <si>
    <t>M17_2</t>
  </si>
  <si>
    <t>M6_2</t>
  </si>
  <si>
    <t>M16_2</t>
  </si>
  <si>
    <t>M15_1</t>
  </si>
  <si>
    <t>M21_2</t>
  </si>
  <si>
    <t>M22_2</t>
  </si>
  <si>
    <t>M4_2</t>
  </si>
  <si>
    <t>M17_1</t>
  </si>
  <si>
    <t>M14_2</t>
  </si>
  <si>
    <t>M20_2</t>
  </si>
  <si>
    <t>M24_2</t>
  </si>
  <si>
    <t>M18_2</t>
  </si>
  <si>
    <t>M5_1</t>
  </si>
  <si>
    <t>M19_1</t>
  </si>
  <si>
    <t>M16_1</t>
  </si>
  <si>
    <t>M1_2</t>
  </si>
  <si>
    <t>M6_1</t>
  </si>
  <si>
    <t>M2_2</t>
  </si>
  <si>
    <t>M21_1</t>
  </si>
  <si>
    <t>M7_2</t>
  </si>
  <si>
    <t>S20</t>
  </si>
  <si>
    <t>S15</t>
  </si>
  <si>
    <t>S17</t>
  </si>
  <si>
    <t>S1</t>
  </si>
  <si>
    <t>S12</t>
  </si>
  <si>
    <t>S22</t>
  </si>
  <si>
    <t>S3</t>
  </si>
  <si>
    <t>S24</t>
  </si>
  <si>
    <t>S14</t>
  </si>
  <si>
    <t>S9</t>
  </si>
  <si>
    <t>S7</t>
  </si>
  <si>
    <t>S2</t>
  </si>
  <si>
    <t>S4</t>
  </si>
  <si>
    <t>S18</t>
  </si>
  <si>
    <t>S19</t>
  </si>
  <si>
    <t>S5</t>
  </si>
  <si>
    <t>S12-2</t>
  </si>
  <si>
    <t>S3-2</t>
  </si>
  <si>
    <t>S15-2</t>
  </si>
  <si>
    <t>S9-1</t>
  </si>
  <si>
    <t>S2-1</t>
  </si>
  <si>
    <t>S18-1</t>
  </si>
  <si>
    <t>S19-2</t>
  </si>
  <si>
    <t>S12-1</t>
  </si>
  <si>
    <t>S22-1</t>
  </si>
  <si>
    <t>S24-1</t>
  </si>
  <si>
    <t>S14-1</t>
  </si>
  <si>
    <t>S7-1</t>
  </si>
  <si>
    <t>S4-1</t>
  </si>
  <si>
    <t>S9-2</t>
  </si>
  <si>
    <t>S3-1</t>
  </si>
  <si>
    <t>S5-2</t>
  </si>
  <si>
    <t>S21-2</t>
  </si>
  <si>
    <t>S22-2</t>
  </si>
  <si>
    <t>S4-2</t>
  </si>
  <si>
    <t>S14-2</t>
  </si>
  <si>
    <t>S20-2</t>
  </si>
  <si>
    <t>S24-2</t>
  </si>
  <si>
    <t>S18-2</t>
  </si>
  <si>
    <t>S1-1</t>
  </si>
  <si>
    <t>S5-1</t>
  </si>
  <si>
    <t>S19-1</t>
  </si>
  <si>
    <t>S16-1</t>
  </si>
  <si>
    <t>S6-1</t>
  </si>
  <si>
    <t>S2-2</t>
  </si>
  <si>
    <t>S21-1</t>
  </si>
  <si>
    <t>S17-2</t>
  </si>
  <si>
    <t>S7-2</t>
  </si>
  <si>
    <t>S6-2</t>
  </si>
  <si>
    <t>S20-1</t>
  </si>
  <si>
    <t>S16-2</t>
  </si>
  <si>
    <t>S15-1</t>
  </si>
  <si>
    <t>S1-2</t>
  </si>
  <si>
    <t>S17-1</t>
  </si>
  <si>
    <t>Plate1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</si>
</sst>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 tint="4.9989318521683403E-2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5BDCFF"/>
        <bgColor indexed="64"/>
      </patternFill>
    </fill>
    <fill>
      <patternFill patternType="solid">
        <fgColor rgb="FFFF5B8A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C1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0E6F"/>
        <bgColor indexed="64"/>
      </patternFill>
    </fill>
    <fill>
      <patternFill patternType="solid">
        <fgColor rgb="FFFF40C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566"/>
        <bgColor indexed="64"/>
      </patternFill>
    </fill>
    <fill>
      <patternFill patternType="solid">
        <fgColor rgb="FFAB73D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E4401"/>
        <bgColor indexed="64"/>
      </patternFill>
    </fill>
    <fill>
      <patternFill patternType="solid">
        <fgColor rgb="FF8F482F"/>
        <bgColor indexed="64"/>
      </patternFill>
    </fill>
    <fill>
      <patternFill patternType="solid">
        <fgColor rgb="FF4CF5F9"/>
        <bgColor indexed="64"/>
      </patternFill>
    </fill>
    <fill>
      <patternFill patternType="solid">
        <fgColor rgb="FF955982"/>
        <bgColor indexed="64"/>
      </patternFill>
    </fill>
    <fill>
      <patternFill patternType="solid">
        <fgColor rgb="FF00843B"/>
        <bgColor indexed="64"/>
      </patternFill>
    </fill>
    <fill>
      <patternFill patternType="solid">
        <fgColor rgb="FF97BAFF"/>
        <bgColor indexed="64"/>
      </patternFill>
    </fill>
    <fill>
      <patternFill patternType="solid">
        <fgColor rgb="FF329598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7" xfId="0" applyBorder="1"/>
    <xf numFmtId="0" fontId="0" fillId="0" borderId="14" xfId="0" applyBorder="1"/>
    <xf numFmtId="0" fontId="0" fillId="0" borderId="12" xfId="0" applyBorder="1" applyAlignment="1">
      <alignment wrapText="1"/>
    </xf>
    <xf numFmtId="0" fontId="0" fillId="11" borderId="0" xfId="0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5" xfId="0" applyFill="1" applyBorder="1"/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3" fillId="19" borderId="0" xfId="0" applyFont="1" applyFill="1" applyAlignment="1">
      <alignment horizontal="center"/>
    </xf>
    <xf numFmtId="0" fontId="0" fillId="20" borderId="3" xfId="0" applyFill="1" applyBorder="1"/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3" fillId="19" borderId="7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/>
    </xf>
    <xf numFmtId="0" fontId="5" fillId="22" borderId="8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0" fillId="13" borderId="18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8" borderId="20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19" borderId="22" xfId="0" applyFill="1" applyBorder="1" applyAlignment="1">
      <alignment horizontal="center"/>
    </xf>
    <xf numFmtId="0" fontId="0" fillId="21" borderId="23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18" borderId="21" xfId="0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21" borderId="21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0" fillId="19" borderId="21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17" borderId="18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20" borderId="18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21" borderId="18" xfId="0" applyFill="1" applyBorder="1" applyAlignment="1">
      <alignment horizontal="center"/>
    </xf>
    <xf numFmtId="0" fontId="0" fillId="21" borderId="19" xfId="0" applyFill="1" applyBorder="1" applyAlignment="1">
      <alignment horizontal="center"/>
    </xf>
    <xf numFmtId="0" fontId="0" fillId="20" borderId="21" xfId="0" applyFill="1" applyBorder="1" applyAlignment="1">
      <alignment horizontal="center"/>
    </xf>
    <xf numFmtId="0" fontId="3" fillId="19" borderId="20" xfId="0" applyFont="1" applyFill="1" applyBorder="1" applyAlignment="1">
      <alignment horizontal="center"/>
    </xf>
    <xf numFmtId="0" fontId="3" fillId="19" borderId="21" xfId="0" applyFont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21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7" xfId="0" applyFill="1" applyBorder="1" applyAlignment="1">
      <alignment horizontal="center"/>
    </xf>
    <xf numFmtId="0" fontId="0" fillId="22" borderId="19" xfId="0" applyFill="1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0" fillId="22" borderId="20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24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0" fontId="0" fillId="19" borderId="23" xfId="0" applyFill="1" applyBorder="1" applyAlignment="1">
      <alignment horizontal="center"/>
    </xf>
    <xf numFmtId="0" fontId="0" fillId="20" borderId="22" xfId="0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8" borderId="2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8" fillId="2" borderId="0" xfId="0" applyFont="1" applyFill="1"/>
    <xf numFmtId="0" fontId="8" fillId="4" borderId="0" xfId="0" applyFont="1" applyFill="1"/>
    <xf numFmtId="0" fontId="5" fillId="4" borderId="0" xfId="0" applyFont="1" applyFill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8" fillId="3" borderId="0" xfId="0" applyFont="1" applyFill="1"/>
    <xf numFmtId="0" fontId="8" fillId="6" borderId="0" xfId="0" applyFont="1" applyFill="1"/>
    <xf numFmtId="0" fontId="5" fillId="6" borderId="0" xfId="0" applyFont="1" applyFill="1"/>
    <xf numFmtId="0" fontId="3" fillId="6" borderId="4" xfId="0" applyFont="1" applyFill="1" applyBorder="1" applyAlignment="1">
      <alignment horizontal="center"/>
    </xf>
    <xf numFmtId="0" fontId="8" fillId="26" borderId="0" xfId="0" applyFont="1" applyFill="1"/>
    <xf numFmtId="0" fontId="0" fillId="26" borderId="4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5" fillId="26" borderId="0" xfId="0" applyFont="1" applyFill="1"/>
    <xf numFmtId="0" fontId="3" fillId="26" borderId="0" xfId="0" applyFont="1" applyFill="1" applyAlignment="1">
      <alignment horizontal="center"/>
    </xf>
    <xf numFmtId="0" fontId="8" fillId="28" borderId="0" xfId="0" applyFont="1" applyFill="1"/>
    <xf numFmtId="0" fontId="0" fillId="28" borderId="4" xfId="0" applyFill="1" applyBorder="1" applyAlignment="1">
      <alignment horizontal="center"/>
    </xf>
    <xf numFmtId="0" fontId="0" fillId="28" borderId="0" xfId="0" applyFill="1" applyAlignment="1">
      <alignment horizontal="center"/>
    </xf>
    <xf numFmtId="0" fontId="5" fillId="28" borderId="0" xfId="0" applyFont="1" applyFill="1"/>
    <xf numFmtId="0" fontId="3" fillId="28" borderId="0" xfId="0" applyFont="1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9" borderId="0" xfId="0" applyFont="1" applyFill="1"/>
    <xf numFmtId="0" fontId="0" fillId="29" borderId="1" xfId="0" applyFill="1" applyBorder="1" applyAlignment="1">
      <alignment horizontal="center"/>
    </xf>
    <xf numFmtId="0" fontId="0" fillId="29" borderId="2" xfId="0" applyFill="1" applyBorder="1" applyAlignment="1">
      <alignment horizontal="center"/>
    </xf>
    <xf numFmtId="0" fontId="3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3" fillId="29" borderId="0" xfId="0" applyFont="1" applyFill="1" applyAlignment="1">
      <alignment horizontal="center"/>
    </xf>
    <xf numFmtId="0" fontId="3" fillId="30" borderId="4" xfId="0" applyFont="1" applyFill="1" applyBorder="1" applyAlignment="1">
      <alignment horizontal="center"/>
    </xf>
    <xf numFmtId="0" fontId="0" fillId="30" borderId="0" xfId="0" applyFill="1" applyAlignment="1">
      <alignment horizontal="center"/>
    </xf>
    <xf numFmtId="0" fontId="5" fillId="30" borderId="0" xfId="0" applyFont="1" applyFill="1"/>
    <xf numFmtId="0" fontId="0" fillId="30" borderId="4" xfId="0" applyFill="1" applyBorder="1" applyAlignment="1">
      <alignment horizontal="center"/>
    </xf>
    <xf numFmtId="0" fontId="3" fillId="30" borderId="0" xfId="0" applyFont="1" applyFill="1" applyAlignment="1">
      <alignment horizontal="center"/>
    </xf>
    <xf numFmtId="0" fontId="5" fillId="31" borderId="0" xfId="0" applyFont="1" applyFill="1"/>
    <xf numFmtId="0" fontId="0" fillId="31" borderId="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3" fillId="31" borderId="0" xfId="0" applyFont="1" applyFill="1" applyAlignment="1">
      <alignment horizontal="center"/>
    </xf>
    <xf numFmtId="0" fontId="5" fillId="25" borderId="0" xfId="0" applyFont="1" applyFill="1"/>
    <xf numFmtId="0" fontId="0" fillId="25" borderId="4" xfId="0" applyFill="1" applyBorder="1" applyAlignment="1">
      <alignment horizontal="center"/>
    </xf>
    <xf numFmtId="0" fontId="3" fillId="25" borderId="0" xfId="0" applyFont="1" applyFill="1" applyAlignment="1">
      <alignment horizontal="center"/>
    </xf>
    <xf numFmtId="0" fontId="0" fillId="25" borderId="6" xfId="0" applyFill="1" applyBorder="1" applyAlignment="1">
      <alignment horizontal="center"/>
    </xf>
    <xf numFmtId="0" fontId="3" fillId="25" borderId="7" xfId="0" applyFont="1" applyFill="1" applyBorder="1" applyAlignment="1">
      <alignment horizontal="center"/>
    </xf>
    <xf numFmtId="0" fontId="5" fillId="24" borderId="0" xfId="0" applyFont="1" applyFill="1"/>
    <xf numFmtId="0" fontId="0" fillId="24" borderId="6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3" fillId="24" borderId="7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0" fillId="27" borderId="20" xfId="0" applyFill="1" applyBorder="1" applyAlignment="1">
      <alignment horizontal="center"/>
    </xf>
    <xf numFmtId="0" fontId="0" fillId="27" borderId="21" xfId="0" applyFill="1" applyBorder="1" applyAlignment="1">
      <alignment horizontal="center"/>
    </xf>
    <xf numFmtId="0" fontId="0" fillId="27" borderId="22" xfId="0" applyFill="1" applyBorder="1" applyAlignment="1">
      <alignment horizontal="center"/>
    </xf>
    <xf numFmtId="0" fontId="0" fillId="27" borderId="23" xfId="0" applyFill="1" applyBorder="1" applyAlignment="1">
      <alignment horizontal="center"/>
    </xf>
    <xf numFmtId="0" fontId="5" fillId="27" borderId="0" xfId="0" applyFont="1" applyFill="1"/>
    <xf numFmtId="0" fontId="0" fillId="32" borderId="18" xfId="0" applyFill="1" applyBorder="1" applyAlignment="1">
      <alignment horizontal="center"/>
    </xf>
    <xf numFmtId="0" fontId="0" fillId="32" borderId="19" xfId="0" applyFill="1" applyBorder="1" applyAlignment="1">
      <alignment horizontal="center"/>
    </xf>
    <xf numFmtId="0" fontId="0" fillId="32" borderId="20" xfId="0" applyFill="1" applyBorder="1" applyAlignment="1">
      <alignment horizontal="center"/>
    </xf>
    <xf numFmtId="0" fontId="0" fillId="32" borderId="21" xfId="0" applyFill="1" applyBorder="1" applyAlignment="1">
      <alignment horizontal="center"/>
    </xf>
    <xf numFmtId="0" fontId="0" fillId="32" borderId="22" xfId="0" applyFill="1" applyBorder="1" applyAlignment="1">
      <alignment horizontal="center"/>
    </xf>
    <xf numFmtId="0" fontId="0" fillId="32" borderId="23" xfId="0" applyFill="1" applyBorder="1" applyAlignment="1">
      <alignment horizontal="center"/>
    </xf>
    <xf numFmtId="0" fontId="5" fillId="32" borderId="0" xfId="0" applyFont="1" applyFill="1"/>
    <xf numFmtId="0" fontId="0" fillId="34" borderId="18" xfId="0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5" fillId="34" borderId="0" xfId="0" applyFont="1" applyFill="1"/>
    <xf numFmtId="0" fontId="0" fillId="34" borderId="6" xfId="0" applyFill="1" applyBorder="1" applyAlignment="1">
      <alignment horizontal="center"/>
    </xf>
    <xf numFmtId="0" fontId="0" fillId="34" borderId="7" xfId="0" applyFill="1" applyBorder="1" applyAlignment="1">
      <alignment horizontal="center"/>
    </xf>
    <xf numFmtId="0" fontId="3" fillId="34" borderId="7" xfId="0" applyFont="1" applyFill="1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5" fillId="35" borderId="0" xfId="0" applyFont="1" applyFill="1"/>
    <xf numFmtId="0" fontId="0" fillId="35" borderId="20" xfId="0" applyFill="1" applyBorder="1" applyAlignment="1">
      <alignment horizontal="center"/>
    </xf>
    <xf numFmtId="0" fontId="0" fillId="35" borderId="21" xfId="0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5" fillId="36" borderId="0" xfId="0" applyFont="1" applyFill="1"/>
    <xf numFmtId="0" fontId="0" fillId="36" borderId="18" xfId="0" applyFill="1" applyBorder="1" applyAlignment="1">
      <alignment horizontal="center"/>
    </xf>
    <xf numFmtId="0" fontId="0" fillId="36" borderId="19" xfId="0" applyFill="1" applyBorder="1" applyAlignment="1">
      <alignment horizontal="center"/>
    </xf>
    <xf numFmtId="0" fontId="0" fillId="36" borderId="20" xfId="0" applyFill="1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6" borderId="23" xfId="0" applyFill="1" applyBorder="1" applyAlignment="1">
      <alignment horizontal="center"/>
    </xf>
    <xf numFmtId="0" fontId="0" fillId="36" borderId="4" xfId="0" applyFill="1" applyBorder="1" applyAlignment="1">
      <alignment horizontal="center"/>
    </xf>
    <xf numFmtId="0" fontId="0" fillId="36" borderId="0" xfId="0" applyFill="1" applyAlignment="1">
      <alignment horizontal="center"/>
    </xf>
    <xf numFmtId="0" fontId="3" fillId="36" borderId="0" xfId="0" applyFont="1" applyFill="1" applyAlignment="1">
      <alignment horizontal="center"/>
    </xf>
    <xf numFmtId="0" fontId="0" fillId="35" borderId="4" xfId="0" applyFill="1" applyBorder="1" applyAlignment="1">
      <alignment horizontal="center"/>
    </xf>
    <xf numFmtId="0" fontId="0" fillId="35" borderId="0" xfId="0" applyFill="1" applyAlignment="1">
      <alignment horizontal="center"/>
    </xf>
    <xf numFmtId="0" fontId="3" fillId="35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 applyAlignment="1">
      <alignment horizontal="center"/>
    </xf>
    <xf numFmtId="0" fontId="8" fillId="37" borderId="0" xfId="0" applyFont="1" applyFill="1"/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3" fillId="32" borderId="0" xfId="0" applyFont="1" applyFill="1" applyAlignment="1">
      <alignment horizontal="center"/>
    </xf>
    <xf numFmtId="0" fontId="0" fillId="27" borderId="4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5" fillId="33" borderId="0" xfId="0" applyFont="1" applyFill="1"/>
    <xf numFmtId="0" fontId="0" fillId="33" borderId="1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3" fillId="33" borderId="2" xfId="0" applyFont="1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3" fillId="33" borderId="0" xfId="0" applyFont="1" applyFill="1" applyAlignment="1">
      <alignment horizontal="center"/>
    </xf>
    <xf numFmtId="0" fontId="5" fillId="38" borderId="0" xfId="0" applyFont="1" applyFill="1"/>
    <xf numFmtId="0" fontId="0" fillId="38" borderId="4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3" fillId="38" borderId="0" xfId="0" applyFont="1" applyFill="1" applyAlignment="1">
      <alignment horizontal="center"/>
    </xf>
    <xf numFmtId="0" fontId="0" fillId="38" borderId="18" xfId="0" applyFill="1" applyBorder="1" applyAlignment="1">
      <alignment horizontal="center"/>
    </xf>
    <xf numFmtId="0" fontId="0" fillId="38" borderId="19" xfId="0" applyFill="1" applyBorder="1" applyAlignment="1">
      <alignment horizontal="center"/>
    </xf>
    <xf numFmtId="0" fontId="0" fillId="38" borderId="20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0" fillId="38" borderId="22" xfId="0" applyFill="1" applyBorder="1" applyAlignment="1">
      <alignment horizontal="center"/>
    </xf>
    <xf numFmtId="0" fontId="0" fillId="38" borderId="23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39" borderId="0" xfId="0" applyFont="1" applyFill="1"/>
    <xf numFmtId="0" fontId="0" fillId="39" borderId="4" xfId="0" applyFill="1" applyBorder="1" applyAlignment="1">
      <alignment horizontal="center"/>
    </xf>
    <xf numFmtId="0" fontId="0" fillId="39" borderId="0" xfId="0" applyFill="1" applyAlignment="1">
      <alignment horizontal="center"/>
    </xf>
    <xf numFmtId="0" fontId="3" fillId="39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C1FF"/>
      <color rgb="FFCC6600"/>
      <color rgb="FF00FFCC"/>
      <color rgb="FF9999FF"/>
      <color rgb="FFFFFF99"/>
      <color rgb="FFFF5B8A"/>
      <color rgb="FF5BDCFF"/>
      <color rgb="FF00CC99"/>
      <color rgb="FFCC99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B5A5-612B-499B-9A84-4883999102D9}">
  <dimension ref="A1:O23"/>
  <sheetViews>
    <sheetView workbookViewId="0">
      <selection activeCell="E33" sqref="E33"/>
    </sheetView>
  </sheetViews>
  <sheetFormatPr baseColWidth="10" defaultColWidth="8.83203125" defaultRowHeight="15" x14ac:dyDescent="0.2"/>
  <cols>
    <col min="1" max="1" width="15.6640625" customWidth="1"/>
    <col min="2" max="2" width="19.5" customWidth="1"/>
    <col min="3" max="3" width="18.5" customWidth="1"/>
    <col min="4" max="4" width="17.83203125" customWidth="1"/>
    <col min="5" max="5" width="8.5"/>
    <col min="6" max="6" width="31" customWidth="1"/>
    <col min="7" max="7" width="30.33203125" customWidth="1"/>
    <col min="8" max="8" width="27.1640625" customWidth="1"/>
    <col min="9" max="9" width="8.5"/>
    <col min="10" max="10" width="13.5" customWidth="1"/>
    <col min="11" max="11" width="8.5"/>
    <col min="12" max="14" width="8.83203125" style="1"/>
    <col min="15" max="15" width="11.5" style="1" bestFit="1" customWidth="1"/>
    <col min="16" max="16384" width="8.83203125" style="1"/>
  </cols>
  <sheetData>
    <row r="1" spans="1:15" ht="16" x14ac:dyDescent="0.2">
      <c r="L1" s="1" t="s">
        <v>0</v>
      </c>
      <c r="M1" s="1" t="s">
        <v>1</v>
      </c>
      <c r="N1" s="1" t="s">
        <v>2</v>
      </c>
      <c r="O1" s="1" t="s">
        <v>3</v>
      </c>
    </row>
    <row r="2" spans="1:15" ht="16" x14ac:dyDescent="0.2">
      <c r="A2" s="293" t="s">
        <v>4</v>
      </c>
      <c r="B2" s="293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7</v>
      </c>
      <c r="J2" s="29" t="s">
        <v>11</v>
      </c>
      <c r="K2" s="1"/>
      <c r="L2" s="1">
        <v>1</v>
      </c>
      <c r="M2" s="1" t="str">
        <f t="shared" ref="M2:M11" si="0">_xlfn.CONCAT(C4,"_",L2)</f>
        <v>NC262_1</v>
      </c>
      <c r="N2" s="1">
        <v>10</v>
      </c>
      <c r="O2" s="1" t="e">
        <f ca="1">#REF!=RAND()</f>
        <v>#REF!</v>
      </c>
    </row>
    <row r="3" spans="1:15" ht="17" thickBot="1" x14ac:dyDescent="0.25">
      <c r="C3" s="1"/>
      <c r="D3" s="1"/>
      <c r="E3" s="1"/>
      <c r="F3" s="1"/>
      <c r="G3" s="1"/>
      <c r="L3" s="1">
        <v>1</v>
      </c>
      <c r="M3" s="1" t="str">
        <f t="shared" si="0"/>
        <v>PHG35_1</v>
      </c>
      <c r="N3" s="1">
        <v>1</v>
      </c>
      <c r="O3" s="1">
        <f t="shared" ref="O3:O11" ca="1" si="1">RAND()</f>
        <v>0.60144878392043277</v>
      </c>
    </row>
    <row r="4" spans="1:15" ht="17" thickTop="1" x14ac:dyDescent="0.2">
      <c r="A4" s="22"/>
      <c r="B4" s="28"/>
      <c r="C4" s="3" t="s">
        <v>12</v>
      </c>
      <c r="D4" s="13" t="s">
        <v>12</v>
      </c>
      <c r="E4" s="1"/>
      <c r="F4" s="1"/>
      <c r="G4" s="1"/>
      <c r="L4" s="1">
        <v>1</v>
      </c>
      <c r="M4" s="1" t="str">
        <f t="shared" si="0"/>
        <v>B57_1</v>
      </c>
      <c r="N4" s="1">
        <v>4</v>
      </c>
      <c r="O4" s="1">
        <f t="shared" ca="1" si="1"/>
        <v>8.0260438776013632E-2</v>
      </c>
    </row>
    <row r="5" spans="1:15" ht="16" x14ac:dyDescent="0.2">
      <c r="A5" s="23"/>
      <c r="B5" s="25"/>
      <c r="C5" s="4" t="s">
        <v>13</v>
      </c>
      <c r="D5" s="14" t="s">
        <v>13</v>
      </c>
      <c r="G5" s="1"/>
      <c r="L5" s="1">
        <v>1</v>
      </c>
      <c r="M5" s="1" t="str">
        <f t="shared" si="0"/>
        <v>A554_1</v>
      </c>
      <c r="N5" s="1">
        <v>9</v>
      </c>
      <c r="O5" s="1">
        <f t="shared" ca="1" si="1"/>
        <v>0.82476469582997869</v>
      </c>
    </row>
    <row r="6" spans="1:15" ht="16" x14ac:dyDescent="0.2">
      <c r="A6" s="23"/>
      <c r="B6" s="24"/>
      <c r="C6" s="5" t="s">
        <v>14</v>
      </c>
      <c r="D6" s="15" t="s">
        <v>14</v>
      </c>
      <c r="E6" s="1"/>
      <c r="F6" s="1"/>
      <c r="G6" s="1"/>
      <c r="L6" s="1">
        <v>1</v>
      </c>
      <c r="M6" s="1" t="str">
        <f t="shared" si="0"/>
        <v>LH60_1</v>
      </c>
      <c r="N6" s="1">
        <v>3</v>
      </c>
      <c r="O6" s="1">
        <f t="shared" ca="1" si="1"/>
        <v>0.86720971862978746</v>
      </c>
    </row>
    <row r="7" spans="1:15" ht="16" x14ac:dyDescent="0.2">
      <c r="A7" s="23"/>
      <c r="B7" s="25"/>
      <c r="C7" s="6" t="s">
        <v>15</v>
      </c>
      <c r="D7" s="16" t="s">
        <v>15</v>
      </c>
      <c r="E7" s="1"/>
      <c r="F7" s="1"/>
      <c r="G7" s="1"/>
      <c r="L7" s="1">
        <v>1</v>
      </c>
      <c r="M7" s="1" t="str">
        <f t="shared" si="0"/>
        <v>PHG47_1</v>
      </c>
      <c r="N7" s="1">
        <v>2</v>
      </c>
      <c r="O7" s="1">
        <f t="shared" ca="1" si="1"/>
        <v>0.20888014594537108</v>
      </c>
    </row>
    <row r="8" spans="1:15" ht="16" x14ac:dyDescent="0.2">
      <c r="A8" s="23"/>
      <c r="B8" s="25"/>
      <c r="C8" s="7" t="s">
        <v>16</v>
      </c>
      <c r="D8" s="17" t="s">
        <v>16</v>
      </c>
      <c r="L8" s="1">
        <v>1</v>
      </c>
      <c r="M8" s="1" t="str">
        <f t="shared" si="0"/>
        <v>764_1</v>
      </c>
      <c r="N8" s="1">
        <v>5</v>
      </c>
      <c r="O8" s="1">
        <f t="shared" ca="1" si="1"/>
        <v>0.99623156508667488</v>
      </c>
    </row>
    <row r="9" spans="1:15" ht="16" x14ac:dyDescent="0.2">
      <c r="A9" s="23"/>
      <c r="B9" s="25"/>
      <c r="C9" s="8" t="s">
        <v>17</v>
      </c>
      <c r="D9" s="18" t="s">
        <v>17</v>
      </c>
      <c r="L9" s="1">
        <v>1</v>
      </c>
      <c r="M9" s="1" t="str">
        <f t="shared" si="0"/>
        <v>PHG39_1</v>
      </c>
      <c r="N9" s="1">
        <v>8</v>
      </c>
      <c r="O9" s="1">
        <f t="shared" ca="1" si="1"/>
        <v>0.23559701194204585</v>
      </c>
    </row>
    <row r="10" spans="1:15" ht="16" x14ac:dyDescent="0.2">
      <c r="A10" s="23"/>
      <c r="B10" s="25"/>
      <c r="C10" s="9">
        <v>764</v>
      </c>
      <c r="D10" s="19">
        <v>764</v>
      </c>
      <c r="L10" s="1">
        <v>1</v>
      </c>
      <c r="M10" s="1" t="str">
        <f t="shared" si="0"/>
        <v>HP301_1</v>
      </c>
      <c r="N10" s="1">
        <v>6</v>
      </c>
      <c r="O10" s="1">
        <f t="shared" ca="1" si="1"/>
        <v>0.93157991782993754</v>
      </c>
    </row>
    <row r="11" spans="1:15" ht="16" x14ac:dyDescent="0.2">
      <c r="A11" s="23"/>
      <c r="B11" s="25"/>
      <c r="C11" s="10" t="s">
        <v>18</v>
      </c>
      <c r="D11" s="20" t="s">
        <v>18</v>
      </c>
      <c r="L11" s="1">
        <v>1</v>
      </c>
      <c r="M11" s="1" t="str">
        <f t="shared" si="0"/>
        <v>FBB0_1</v>
      </c>
      <c r="N11" s="1">
        <v>7</v>
      </c>
      <c r="O11" s="1">
        <f t="shared" ca="1" si="1"/>
        <v>0.66251845674640419</v>
      </c>
    </row>
    <row r="12" spans="1:15" x14ac:dyDescent="0.2">
      <c r="A12" s="23"/>
      <c r="B12" s="25"/>
      <c r="C12" s="11" t="s">
        <v>19</v>
      </c>
      <c r="D12" s="21" t="s">
        <v>19</v>
      </c>
    </row>
    <row r="13" spans="1:15" ht="16" thickBot="1" x14ac:dyDescent="0.25">
      <c r="A13" s="26"/>
      <c r="B13" s="27"/>
      <c r="C13" s="12" t="s">
        <v>20</v>
      </c>
      <c r="D13" s="12" t="s">
        <v>20</v>
      </c>
    </row>
    <row r="14" spans="1:15" ht="16" thickTop="1" x14ac:dyDescent="0.2"/>
    <row r="23" spans="2:6" ht="32" x14ac:dyDescent="0.2">
      <c r="B23" s="1" t="s">
        <v>21</v>
      </c>
      <c r="C23" t="s">
        <v>22</v>
      </c>
      <c r="D23" t="s">
        <v>23</v>
      </c>
      <c r="E23" t="s">
        <v>7</v>
      </c>
      <c r="F23" t="s">
        <v>24</v>
      </c>
    </row>
  </sheetData>
  <sortState xmlns:xlrd2="http://schemas.microsoft.com/office/spreadsheetml/2017/richdata2" ref="L2:O24">
    <sortCondition ref="O2:O24"/>
  </sortState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A58B-9DBA-43A1-BBBA-B96611B196D9}">
  <dimension ref="A1:AB29"/>
  <sheetViews>
    <sheetView topLeftCell="U1" zoomScale="80" zoomScaleNormal="80" workbookViewId="0">
      <selection activeCell="J10" sqref="J10"/>
    </sheetView>
  </sheetViews>
  <sheetFormatPr baseColWidth="10" defaultColWidth="8.83203125" defaultRowHeight="15" x14ac:dyDescent="0.2"/>
  <sheetData>
    <row r="1" spans="1:28" ht="16" thickBot="1" x14ac:dyDescent="0.25">
      <c r="B1" s="31">
        <v>1</v>
      </c>
      <c r="C1" s="31">
        <v>2</v>
      </c>
      <c r="D1" s="31">
        <v>3</v>
      </c>
      <c r="E1" s="31">
        <v>4</v>
      </c>
      <c r="F1" s="31">
        <v>5</v>
      </c>
      <c r="G1" s="31">
        <v>6</v>
      </c>
      <c r="H1" s="31">
        <v>7</v>
      </c>
      <c r="I1" s="31">
        <v>8</v>
      </c>
      <c r="J1" s="31">
        <v>9</v>
      </c>
      <c r="K1" s="31">
        <v>10</v>
      </c>
      <c r="L1" s="31">
        <v>11</v>
      </c>
      <c r="M1" s="31">
        <v>12</v>
      </c>
      <c r="O1" s="31">
        <v>1</v>
      </c>
      <c r="P1" s="31">
        <v>2</v>
      </c>
      <c r="Q1" s="31">
        <v>3</v>
      </c>
      <c r="R1" s="31">
        <v>4</v>
      </c>
      <c r="S1" s="31">
        <v>5</v>
      </c>
      <c r="T1" s="31">
        <v>6</v>
      </c>
      <c r="U1" s="31">
        <v>7</v>
      </c>
      <c r="V1" s="31">
        <v>8</v>
      </c>
      <c r="W1" s="31">
        <v>9</v>
      </c>
      <c r="X1" s="31">
        <v>10</v>
      </c>
      <c r="Y1" s="31">
        <v>11</v>
      </c>
      <c r="Z1" s="31">
        <v>12</v>
      </c>
      <c r="AA1" s="43" t="s">
        <v>25</v>
      </c>
      <c r="AB1" s="43" t="s">
        <v>26</v>
      </c>
    </row>
    <row r="2" spans="1:28" x14ac:dyDescent="0.2">
      <c r="A2" s="30" t="s">
        <v>27</v>
      </c>
      <c r="B2" s="76" t="s">
        <v>28</v>
      </c>
      <c r="C2" s="50" t="s">
        <v>29</v>
      </c>
      <c r="D2" s="51" t="s">
        <v>30</v>
      </c>
      <c r="E2" s="53" t="s">
        <v>31</v>
      </c>
      <c r="F2" s="77" t="s">
        <v>32</v>
      </c>
      <c r="G2" s="54" t="s">
        <v>33</v>
      </c>
      <c r="H2" s="78" t="s">
        <v>34</v>
      </c>
      <c r="I2" s="48" t="s">
        <v>35</v>
      </c>
      <c r="J2" s="55" t="s">
        <v>36</v>
      </c>
      <c r="K2" s="49" t="s">
        <v>25</v>
      </c>
      <c r="L2" s="47" t="s">
        <v>32</v>
      </c>
      <c r="M2" s="79" t="s">
        <v>36</v>
      </c>
      <c r="N2" s="30" t="s">
        <v>27</v>
      </c>
      <c r="O2" s="47" t="s">
        <v>32</v>
      </c>
      <c r="P2" s="48" t="s">
        <v>35</v>
      </c>
      <c r="Q2" s="49" t="s">
        <v>25</v>
      </c>
      <c r="R2" s="44" t="s">
        <v>34</v>
      </c>
      <c r="S2" s="51" t="s">
        <v>30</v>
      </c>
      <c r="T2" s="52" t="s">
        <v>28</v>
      </c>
      <c r="U2" s="55" t="s">
        <v>36</v>
      </c>
      <c r="V2" s="53" t="s">
        <v>31</v>
      </c>
      <c r="W2" s="54" t="s">
        <v>33</v>
      </c>
      <c r="X2" s="50" t="s">
        <v>29</v>
      </c>
      <c r="Y2" s="99" t="s">
        <v>33</v>
      </c>
      <c r="Z2" s="56" t="s">
        <v>31</v>
      </c>
      <c r="AA2" s="32" t="s">
        <v>32</v>
      </c>
      <c r="AB2" s="32" t="s">
        <v>37</v>
      </c>
    </row>
    <row r="3" spans="1:28" x14ac:dyDescent="0.2">
      <c r="A3" s="30" t="s">
        <v>38</v>
      </c>
      <c r="B3" s="60" t="s">
        <v>30</v>
      </c>
      <c r="C3" s="80" t="s">
        <v>34</v>
      </c>
      <c r="D3" s="43" t="s">
        <v>25</v>
      </c>
      <c r="E3" s="36" t="s">
        <v>31</v>
      </c>
      <c r="F3" s="32" t="s">
        <v>32</v>
      </c>
      <c r="G3" s="39" t="s">
        <v>35</v>
      </c>
      <c r="H3" s="34" t="s">
        <v>29</v>
      </c>
      <c r="I3" s="38" t="s">
        <v>33</v>
      </c>
      <c r="J3" s="33" t="s">
        <v>28</v>
      </c>
      <c r="K3" s="42" t="s">
        <v>36</v>
      </c>
      <c r="L3" s="97" t="s">
        <v>34</v>
      </c>
      <c r="M3" s="81" t="s">
        <v>29</v>
      </c>
      <c r="N3" s="30" t="s">
        <v>38</v>
      </c>
      <c r="O3" s="60" t="s">
        <v>30</v>
      </c>
      <c r="P3" s="43" t="s">
        <v>25</v>
      </c>
      <c r="Q3" s="36" t="s">
        <v>31</v>
      </c>
      <c r="R3" s="33" t="s">
        <v>28</v>
      </c>
      <c r="S3" s="32" t="s">
        <v>32</v>
      </c>
      <c r="T3" s="40" t="s">
        <v>34</v>
      </c>
      <c r="U3" s="42" t="s">
        <v>36</v>
      </c>
      <c r="V3" s="34" t="s">
        <v>29</v>
      </c>
      <c r="W3" s="39" t="s">
        <v>35</v>
      </c>
      <c r="X3" s="38" t="s">
        <v>33</v>
      </c>
      <c r="Y3" s="58" t="s">
        <v>35</v>
      </c>
      <c r="Z3" s="63" t="s">
        <v>34</v>
      </c>
      <c r="AA3" s="42" t="s">
        <v>36</v>
      </c>
      <c r="AB3" s="42" t="s">
        <v>39</v>
      </c>
    </row>
    <row r="4" spans="1:28" x14ac:dyDescent="0.2">
      <c r="A4" s="30" t="s">
        <v>40</v>
      </c>
      <c r="B4" s="65" t="s">
        <v>32</v>
      </c>
      <c r="C4" s="39" t="s">
        <v>35</v>
      </c>
      <c r="D4" s="80" t="s">
        <v>34</v>
      </c>
      <c r="E4" s="34" t="s">
        <v>29</v>
      </c>
      <c r="F4" s="33" t="s">
        <v>28</v>
      </c>
      <c r="G4" s="43" t="s">
        <v>25</v>
      </c>
      <c r="H4" s="38" t="s">
        <v>33</v>
      </c>
      <c r="I4" s="42" t="s">
        <v>36</v>
      </c>
      <c r="J4" s="36" t="s">
        <v>31</v>
      </c>
      <c r="K4" s="35" t="s">
        <v>30</v>
      </c>
      <c r="L4" s="89" t="s">
        <v>25</v>
      </c>
      <c r="M4" s="82" t="s">
        <v>33</v>
      </c>
      <c r="N4" s="30" t="s">
        <v>40</v>
      </c>
      <c r="O4" s="89" t="s">
        <v>25</v>
      </c>
      <c r="P4" s="36" t="s">
        <v>31</v>
      </c>
      <c r="Q4" s="34" t="s">
        <v>29</v>
      </c>
      <c r="R4" s="39" t="s">
        <v>35</v>
      </c>
      <c r="S4" s="42" t="s">
        <v>36</v>
      </c>
      <c r="T4" s="40" t="s">
        <v>34</v>
      </c>
      <c r="U4" s="33" t="s">
        <v>28</v>
      </c>
      <c r="V4" s="32" t="s">
        <v>32</v>
      </c>
      <c r="W4" s="38" t="s">
        <v>33</v>
      </c>
      <c r="X4" s="35" t="s">
        <v>30</v>
      </c>
      <c r="Y4" s="83" t="s">
        <v>29</v>
      </c>
      <c r="Z4" s="90" t="s">
        <v>30</v>
      </c>
      <c r="AA4" s="38" t="s">
        <v>33</v>
      </c>
      <c r="AB4" s="38" t="s">
        <v>41</v>
      </c>
    </row>
    <row r="5" spans="1:28" x14ac:dyDescent="0.2">
      <c r="A5" s="30" t="s">
        <v>42</v>
      </c>
      <c r="B5" s="83" t="s">
        <v>29</v>
      </c>
      <c r="C5" s="43" t="s">
        <v>25</v>
      </c>
      <c r="D5" s="32" t="s">
        <v>32</v>
      </c>
      <c r="E5" s="35" t="s">
        <v>30</v>
      </c>
      <c r="F5" s="39" t="s">
        <v>35</v>
      </c>
      <c r="G5" s="80" t="s">
        <v>34</v>
      </c>
      <c r="H5" s="36" t="s">
        <v>31</v>
      </c>
      <c r="I5" s="33" t="s">
        <v>28</v>
      </c>
      <c r="J5" s="42" t="s">
        <v>36</v>
      </c>
      <c r="K5" s="38" t="s">
        <v>33</v>
      </c>
      <c r="L5" s="60" t="s">
        <v>30</v>
      </c>
      <c r="M5" s="84" t="s">
        <v>31</v>
      </c>
      <c r="N5" s="30" t="s">
        <v>42</v>
      </c>
      <c r="O5" s="60" t="s">
        <v>30</v>
      </c>
      <c r="P5" s="43" t="s">
        <v>25</v>
      </c>
      <c r="Q5" s="38" t="s">
        <v>33</v>
      </c>
      <c r="R5" s="39" t="s">
        <v>35</v>
      </c>
      <c r="S5" s="32" t="s">
        <v>32</v>
      </c>
      <c r="T5" s="40" t="s">
        <v>34</v>
      </c>
      <c r="U5" s="34" t="s">
        <v>29</v>
      </c>
      <c r="V5" s="42" t="s">
        <v>36</v>
      </c>
      <c r="W5" s="36" t="s">
        <v>31</v>
      </c>
      <c r="X5" s="33" t="s">
        <v>28</v>
      </c>
      <c r="Y5" s="65" t="s">
        <v>32</v>
      </c>
      <c r="Z5" s="64" t="s">
        <v>28</v>
      </c>
      <c r="AA5" s="34" t="s">
        <v>29</v>
      </c>
      <c r="AB5" s="34" t="s">
        <v>43</v>
      </c>
    </row>
    <row r="6" spans="1:28" x14ac:dyDescent="0.2">
      <c r="A6" s="30" t="s">
        <v>44</v>
      </c>
      <c r="B6" s="85" t="s">
        <v>31</v>
      </c>
      <c r="C6" s="39" t="s">
        <v>35</v>
      </c>
      <c r="D6" s="42" t="s">
        <v>36</v>
      </c>
      <c r="E6" s="33" t="s">
        <v>28</v>
      </c>
      <c r="F6" s="80" t="s">
        <v>34</v>
      </c>
      <c r="G6" s="35" t="s">
        <v>30</v>
      </c>
      <c r="H6" s="34" t="s">
        <v>29</v>
      </c>
      <c r="I6" s="43" t="s">
        <v>25</v>
      </c>
      <c r="J6" s="32" t="s">
        <v>32</v>
      </c>
      <c r="K6" s="38" t="s">
        <v>33</v>
      </c>
      <c r="L6" s="58" t="s">
        <v>35</v>
      </c>
      <c r="M6" s="64" t="s">
        <v>28</v>
      </c>
      <c r="N6" s="30" t="s">
        <v>44</v>
      </c>
      <c r="O6" s="58" t="s">
        <v>35</v>
      </c>
      <c r="P6" s="43" t="s">
        <v>25</v>
      </c>
      <c r="Q6" s="34" t="s">
        <v>29</v>
      </c>
      <c r="R6" s="42" t="s">
        <v>36</v>
      </c>
      <c r="S6" s="35" t="s">
        <v>30</v>
      </c>
      <c r="T6" s="36" t="s">
        <v>31</v>
      </c>
      <c r="U6" s="32" t="s">
        <v>32</v>
      </c>
      <c r="V6" s="40" t="s">
        <v>34</v>
      </c>
      <c r="W6" s="38" t="s">
        <v>33</v>
      </c>
      <c r="X6" s="33" t="s">
        <v>28</v>
      </c>
      <c r="Y6" s="93" t="s">
        <v>36</v>
      </c>
      <c r="Z6" s="61" t="s">
        <v>25</v>
      </c>
      <c r="AA6" s="33" t="s">
        <v>28</v>
      </c>
      <c r="AB6" s="33" t="s">
        <v>45</v>
      </c>
    </row>
    <row r="7" spans="1:28" x14ac:dyDescent="0.2">
      <c r="A7" s="30" t="s">
        <v>46</v>
      </c>
      <c r="B7" s="86" t="s">
        <v>28</v>
      </c>
      <c r="C7" s="38" t="s">
        <v>33</v>
      </c>
      <c r="D7" s="43" t="s">
        <v>25</v>
      </c>
      <c r="E7" s="35" t="s">
        <v>30</v>
      </c>
      <c r="F7" s="80" t="s">
        <v>34</v>
      </c>
      <c r="G7" s="34" t="s">
        <v>29</v>
      </c>
      <c r="H7" s="39" t="s">
        <v>35</v>
      </c>
      <c r="I7" s="42" t="s">
        <v>36</v>
      </c>
      <c r="J7" s="32" t="s">
        <v>32</v>
      </c>
      <c r="K7" s="36" t="s">
        <v>31</v>
      </c>
      <c r="L7" s="102" t="s">
        <v>47</v>
      </c>
      <c r="M7" s="59" t="s">
        <v>32</v>
      </c>
      <c r="N7" s="30" t="s">
        <v>46</v>
      </c>
      <c r="O7" s="58" t="s">
        <v>35</v>
      </c>
      <c r="P7" s="42" t="s">
        <v>36</v>
      </c>
      <c r="Q7" s="36" t="s">
        <v>31</v>
      </c>
      <c r="R7" s="33" t="s">
        <v>28</v>
      </c>
      <c r="S7" s="34" t="s">
        <v>29</v>
      </c>
      <c r="T7" s="35" t="s">
        <v>30</v>
      </c>
      <c r="U7" s="43" t="s">
        <v>25</v>
      </c>
      <c r="V7" s="38" t="s">
        <v>33</v>
      </c>
      <c r="W7" s="40" t="s">
        <v>34</v>
      </c>
      <c r="X7" s="32" t="s">
        <v>32</v>
      </c>
      <c r="Y7" s="102" t="s">
        <v>48</v>
      </c>
      <c r="Z7" s="64" t="s">
        <v>28</v>
      </c>
      <c r="AA7" s="39" t="s">
        <v>35</v>
      </c>
      <c r="AB7" s="39" t="s">
        <v>49</v>
      </c>
    </row>
    <row r="8" spans="1:28" x14ac:dyDescent="0.2">
      <c r="A8" s="30" t="s">
        <v>50</v>
      </c>
      <c r="B8" s="83" t="s">
        <v>29</v>
      </c>
      <c r="C8" s="42" t="s">
        <v>36</v>
      </c>
      <c r="D8" s="33" t="s">
        <v>28</v>
      </c>
      <c r="E8" s="35" t="s">
        <v>30</v>
      </c>
      <c r="F8" s="38" t="s">
        <v>33</v>
      </c>
      <c r="G8" s="43" t="s">
        <v>25</v>
      </c>
      <c r="H8" s="36" t="s">
        <v>31</v>
      </c>
      <c r="I8" s="39" t="s">
        <v>35</v>
      </c>
      <c r="J8" s="80" t="s">
        <v>34</v>
      </c>
      <c r="K8" s="32" t="s">
        <v>32</v>
      </c>
      <c r="L8" s="60" t="s">
        <v>30</v>
      </c>
      <c r="M8" s="103" t="s">
        <v>48</v>
      </c>
      <c r="N8" s="30" t="s">
        <v>50</v>
      </c>
      <c r="O8" s="83" t="s">
        <v>29</v>
      </c>
      <c r="P8" s="36" t="s">
        <v>31</v>
      </c>
      <c r="Q8" s="38" t="s">
        <v>33</v>
      </c>
      <c r="R8" s="33" t="s">
        <v>28</v>
      </c>
      <c r="S8" s="40" t="s">
        <v>34</v>
      </c>
      <c r="T8" s="43" t="s">
        <v>25</v>
      </c>
      <c r="U8" s="39" t="s">
        <v>35</v>
      </c>
      <c r="V8" s="32" t="s">
        <v>32</v>
      </c>
      <c r="W8" s="42" t="s">
        <v>36</v>
      </c>
      <c r="X8" s="35" t="s">
        <v>30</v>
      </c>
      <c r="Y8" s="58" t="s">
        <v>35</v>
      </c>
      <c r="Z8" s="84" t="s">
        <v>31</v>
      </c>
      <c r="AA8" s="35" t="s">
        <v>30</v>
      </c>
      <c r="AB8" s="35" t="s">
        <v>51</v>
      </c>
    </row>
    <row r="9" spans="1:28" ht="16" thickBot="1" x14ac:dyDescent="0.25">
      <c r="A9" s="30" t="s">
        <v>52</v>
      </c>
      <c r="B9" s="71" t="s">
        <v>32</v>
      </c>
      <c r="C9" s="73" t="s">
        <v>35</v>
      </c>
      <c r="D9" s="74" t="s">
        <v>28</v>
      </c>
      <c r="E9" s="87" t="s">
        <v>30</v>
      </c>
      <c r="F9" s="69" t="s">
        <v>29</v>
      </c>
      <c r="G9" s="70" t="s">
        <v>31</v>
      </c>
      <c r="H9" s="72" t="s">
        <v>25</v>
      </c>
      <c r="I9" s="80" t="s">
        <v>34</v>
      </c>
      <c r="J9" s="67" t="s">
        <v>33</v>
      </c>
      <c r="K9" s="68" t="s">
        <v>36</v>
      </c>
      <c r="L9" s="98" t="s">
        <v>34</v>
      </c>
      <c r="M9" s="88" t="s">
        <v>25</v>
      </c>
      <c r="N9" s="30" t="s">
        <v>52</v>
      </c>
      <c r="O9" s="91" t="s">
        <v>31</v>
      </c>
      <c r="P9" s="73" t="s">
        <v>35</v>
      </c>
      <c r="Q9" s="67" t="s">
        <v>33</v>
      </c>
      <c r="R9" s="72" t="s">
        <v>25</v>
      </c>
      <c r="S9" s="71" t="s">
        <v>32</v>
      </c>
      <c r="T9" s="46" t="s">
        <v>34</v>
      </c>
      <c r="U9" s="69" t="s">
        <v>29</v>
      </c>
      <c r="V9" s="74" t="s">
        <v>28</v>
      </c>
      <c r="W9" s="87" t="s">
        <v>30</v>
      </c>
      <c r="X9" s="68" t="s">
        <v>36</v>
      </c>
      <c r="Y9" s="100" t="s">
        <v>29</v>
      </c>
      <c r="Z9" s="104" t="s">
        <v>47</v>
      </c>
      <c r="AA9" s="36" t="s">
        <v>31</v>
      </c>
      <c r="AB9" s="36" t="s">
        <v>53</v>
      </c>
    </row>
    <row r="10" spans="1:28" x14ac:dyDescent="0.2">
      <c r="AA10" s="40" t="s">
        <v>34</v>
      </c>
      <c r="AB10" s="40" t="s">
        <v>54</v>
      </c>
    </row>
    <row r="12" spans="1:28" ht="16" thickBot="1" x14ac:dyDescent="0.25">
      <c r="B12" s="31">
        <v>1</v>
      </c>
      <c r="C12" s="31">
        <v>2</v>
      </c>
      <c r="D12" s="31">
        <v>3</v>
      </c>
      <c r="E12" s="31">
        <v>4</v>
      </c>
      <c r="F12" s="31">
        <v>5</v>
      </c>
      <c r="G12" s="31">
        <v>6</v>
      </c>
      <c r="H12" s="31">
        <v>7</v>
      </c>
      <c r="I12" s="31">
        <v>8</v>
      </c>
      <c r="J12" s="31">
        <v>9</v>
      </c>
      <c r="K12" s="31">
        <v>10</v>
      </c>
      <c r="L12" s="31">
        <v>11</v>
      </c>
      <c r="M12" s="31">
        <v>12</v>
      </c>
      <c r="O12" s="31">
        <v>1</v>
      </c>
      <c r="P12" s="31">
        <v>2</v>
      </c>
      <c r="Q12" s="31">
        <v>3</v>
      </c>
      <c r="R12" s="31">
        <v>4</v>
      </c>
      <c r="S12" s="31">
        <v>5</v>
      </c>
      <c r="T12" s="31">
        <v>6</v>
      </c>
      <c r="U12" s="31">
        <v>7</v>
      </c>
      <c r="V12" s="31">
        <v>8</v>
      </c>
      <c r="W12" s="31">
        <v>9</v>
      </c>
      <c r="X12" s="31">
        <v>10</v>
      </c>
      <c r="Y12" s="31">
        <v>11</v>
      </c>
      <c r="Z12" s="31">
        <v>12</v>
      </c>
    </row>
    <row r="13" spans="1:28" x14ac:dyDescent="0.2">
      <c r="A13" s="30" t="s">
        <v>27</v>
      </c>
      <c r="B13" s="47" t="s">
        <v>37</v>
      </c>
      <c r="C13" s="48" t="s">
        <v>49</v>
      </c>
      <c r="D13" s="49" t="s">
        <v>26</v>
      </c>
      <c r="E13" s="50" t="s">
        <v>43</v>
      </c>
      <c r="F13" s="51" t="s">
        <v>51</v>
      </c>
      <c r="G13" s="52" t="s">
        <v>45</v>
      </c>
      <c r="H13" s="44" t="s">
        <v>54</v>
      </c>
      <c r="I13" s="53" t="s">
        <v>53</v>
      </c>
      <c r="J13" s="54" t="s">
        <v>41</v>
      </c>
      <c r="K13" s="55" t="s">
        <v>39</v>
      </c>
      <c r="L13" s="95" t="s">
        <v>43</v>
      </c>
      <c r="M13" s="56" t="s">
        <v>53</v>
      </c>
      <c r="N13" s="30" t="s">
        <v>27</v>
      </c>
      <c r="O13" s="47" t="s">
        <v>37</v>
      </c>
      <c r="P13" s="52" t="s">
        <v>45</v>
      </c>
      <c r="Q13" s="54" t="s">
        <v>41</v>
      </c>
      <c r="R13" s="44" t="s">
        <v>54</v>
      </c>
      <c r="S13" s="55" t="s">
        <v>39</v>
      </c>
      <c r="T13" s="50" t="s">
        <v>43</v>
      </c>
      <c r="U13" s="53" t="s">
        <v>53</v>
      </c>
      <c r="V13" s="51" t="s">
        <v>51</v>
      </c>
      <c r="W13" s="49" t="s">
        <v>26</v>
      </c>
      <c r="X13" s="48" t="s">
        <v>49</v>
      </c>
      <c r="Y13" s="101" t="s">
        <v>39</v>
      </c>
      <c r="Z13" s="92" t="s">
        <v>43</v>
      </c>
    </row>
    <row r="14" spans="1:28" x14ac:dyDescent="0.2">
      <c r="A14" s="30" t="s">
        <v>38</v>
      </c>
      <c r="B14" s="45" t="s">
        <v>54</v>
      </c>
      <c r="C14" s="35" t="s">
        <v>51</v>
      </c>
      <c r="D14" s="38" t="s">
        <v>41</v>
      </c>
      <c r="E14" s="43" t="s">
        <v>26</v>
      </c>
      <c r="F14" s="32" t="s">
        <v>37</v>
      </c>
      <c r="G14" s="33" t="s">
        <v>45</v>
      </c>
      <c r="H14" s="34" t="s">
        <v>43</v>
      </c>
      <c r="I14" s="39" t="s">
        <v>49</v>
      </c>
      <c r="J14" s="42" t="s">
        <v>39</v>
      </c>
      <c r="K14" s="36" t="s">
        <v>53</v>
      </c>
      <c r="L14" s="93" t="s">
        <v>39</v>
      </c>
      <c r="M14" s="57" t="s">
        <v>49</v>
      </c>
      <c r="N14" s="30" t="s">
        <v>38</v>
      </c>
      <c r="O14" s="62" t="s">
        <v>41</v>
      </c>
      <c r="P14" s="42" t="s">
        <v>39</v>
      </c>
      <c r="Q14" s="43" t="s">
        <v>26</v>
      </c>
      <c r="R14" s="36" t="s">
        <v>53</v>
      </c>
      <c r="S14" s="34" t="s">
        <v>43</v>
      </c>
      <c r="T14" s="39" t="s">
        <v>49</v>
      </c>
      <c r="U14" s="33" t="s">
        <v>45</v>
      </c>
      <c r="V14" s="40" t="s">
        <v>54</v>
      </c>
      <c r="W14" s="32" t="s">
        <v>37</v>
      </c>
      <c r="X14" s="35" t="s">
        <v>51</v>
      </c>
      <c r="Y14" s="85" t="s">
        <v>53</v>
      </c>
      <c r="Z14" s="82" t="s">
        <v>41</v>
      </c>
    </row>
    <row r="15" spans="1:28" x14ac:dyDescent="0.2">
      <c r="A15" s="30" t="s">
        <v>40</v>
      </c>
      <c r="B15" s="58" t="s">
        <v>49</v>
      </c>
      <c r="C15" s="33" t="s">
        <v>45</v>
      </c>
      <c r="D15" s="43" t="s">
        <v>26</v>
      </c>
      <c r="E15" s="32" t="s">
        <v>37</v>
      </c>
      <c r="F15" s="34" t="s">
        <v>43</v>
      </c>
      <c r="G15" s="36" t="s">
        <v>53</v>
      </c>
      <c r="H15" s="35" t="s">
        <v>51</v>
      </c>
      <c r="I15" s="42" t="s">
        <v>39</v>
      </c>
      <c r="J15" s="38" t="s">
        <v>41</v>
      </c>
      <c r="K15" s="40" t="s">
        <v>54</v>
      </c>
      <c r="L15" s="60" t="s">
        <v>51</v>
      </c>
      <c r="M15" s="59" t="s">
        <v>37</v>
      </c>
      <c r="N15" s="30" t="s">
        <v>40</v>
      </c>
      <c r="O15" s="93" t="s">
        <v>39</v>
      </c>
      <c r="P15" s="34" t="s">
        <v>43</v>
      </c>
      <c r="Q15" s="35" t="s">
        <v>51</v>
      </c>
      <c r="R15" s="33" t="s">
        <v>45</v>
      </c>
      <c r="S15" s="39" t="s">
        <v>49</v>
      </c>
      <c r="T15" s="36" t="s">
        <v>53</v>
      </c>
      <c r="U15" s="40" t="s">
        <v>54</v>
      </c>
      <c r="V15" s="38" t="s">
        <v>41</v>
      </c>
      <c r="W15" s="43" t="s">
        <v>26</v>
      </c>
      <c r="X15" s="32" t="s">
        <v>37</v>
      </c>
      <c r="Y15" s="89" t="s">
        <v>26</v>
      </c>
      <c r="Z15" s="63" t="s">
        <v>54</v>
      </c>
    </row>
    <row r="16" spans="1:28" x14ac:dyDescent="0.2">
      <c r="A16" s="30" t="s">
        <v>42</v>
      </c>
      <c r="B16" s="60" t="s">
        <v>51</v>
      </c>
      <c r="C16" s="33" t="s">
        <v>45</v>
      </c>
      <c r="D16" s="34" t="s">
        <v>43</v>
      </c>
      <c r="E16" s="42" t="s">
        <v>39</v>
      </c>
      <c r="F16" s="40" t="s">
        <v>54</v>
      </c>
      <c r="G16" s="38" t="s">
        <v>41</v>
      </c>
      <c r="H16" s="32" t="s">
        <v>37</v>
      </c>
      <c r="I16" s="39" t="s">
        <v>49</v>
      </c>
      <c r="J16" s="36" t="s">
        <v>53</v>
      </c>
      <c r="K16" s="43" t="s">
        <v>26</v>
      </c>
      <c r="L16" s="62" t="s">
        <v>41</v>
      </c>
      <c r="M16" s="61" t="s">
        <v>26</v>
      </c>
      <c r="N16" s="30" t="s">
        <v>42</v>
      </c>
      <c r="O16" s="83" t="s">
        <v>43</v>
      </c>
      <c r="P16" s="32" t="s">
        <v>37</v>
      </c>
      <c r="Q16" s="38" t="s">
        <v>41</v>
      </c>
      <c r="R16" s="35" t="s">
        <v>51</v>
      </c>
      <c r="S16" s="36" t="s">
        <v>53</v>
      </c>
      <c r="T16" s="42" t="s">
        <v>39</v>
      </c>
      <c r="U16" s="43" t="s">
        <v>26</v>
      </c>
      <c r="V16" s="33" t="s">
        <v>45</v>
      </c>
      <c r="W16" s="40" t="s">
        <v>54</v>
      </c>
      <c r="X16" s="39" t="s">
        <v>49</v>
      </c>
      <c r="Y16" s="60" t="s">
        <v>51</v>
      </c>
      <c r="Z16" s="64" t="s">
        <v>45</v>
      </c>
    </row>
    <row r="17" spans="1:26" x14ac:dyDescent="0.2">
      <c r="A17" s="30" t="s">
        <v>44</v>
      </c>
      <c r="B17" s="62" t="s">
        <v>41</v>
      </c>
      <c r="C17" s="39" t="s">
        <v>49</v>
      </c>
      <c r="D17" s="40" t="s">
        <v>54</v>
      </c>
      <c r="E17" s="42" t="s">
        <v>39</v>
      </c>
      <c r="F17" s="32" t="s">
        <v>37</v>
      </c>
      <c r="G17" s="34" t="s">
        <v>43</v>
      </c>
      <c r="H17" s="33" t="s">
        <v>45</v>
      </c>
      <c r="I17" s="36" t="s">
        <v>53</v>
      </c>
      <c r="J17" s="35" t="s">
        <v>51</v>
      </c>
      <c r="K17" s="43" t="s">
        <v>26</v>
      </c>
      <c r="L17" s="86" t="s">
        <v>45</v>
      </c>
      <c r="M17" s="63" t="s">
        <v>54</v>
      </c>
      <c r="N17" s="30" t="s">
        <v>44</v>
      </c>
      <c r="O17" s="89" t="s">
        <v>26</v>
      </c>
      <c r="P17" s="38" t="s">
        <v>41</v>
      </c>
      <c r="Q17" s="39" t="s">
        <v>49</v>
      </c>
      <c r="R17" s="42" t="s">
        <v>39</v>
      </c>
      <c r="S17" s="40" t="s">
        <v>54</v>
      </c>
      <c r="T17" s="33" t="s">
        <v>45</v>
      </c>
      <c r="U17" s="32" t="s">
        <v>37</v>
      </c>
      <c r="V17" s="35" t="s">
        <v>51</v>
      </c>
      <c r="W17" s="34" t="s">
        <v>43</v>
      </c>
      <c r="X17" s="36" t="s">
        <v>53</v>
      </c>
      <c r="Y17" s="65" t="s">
        <v>37</v>
      </c>
      <c r="Z17" s="57" t="s">
        <v>49</v>
      </c>
    </row>
    <row r="18" spans="1:26" x14ac:dyDescent="0.2">
      <c r="A18" s="30" t="s">
        <v>46</v>
      </c>
      <c r="B18" s="45" t="s">
        <v>54</v>
      </c>
      <c r="C18" s="35" t="s">
        <v>51</v>
      </c>
      <c r="D18" s="36" t="s">
        <v>53</v>
      </c>
      <c r="E18" s="43" t="s">
        <v>26</v>
      </c>
      <c r="F18" s="38" t="s">
        <v>41</v>
      </c>
      <c r="G18" s="42" t="s">
        <v>39</v>
      </c>
      <c r="H18" s="32" t="s">
        <v>37</v>
      </c>
      <c r="I18" s="33" t="s">
        <v>45</v>
      </c>
      <c r="J18" s="39" t="s">
        <v>49</v>
      </c>
      <c r="K18" s="34" t="s">
        <v>43</v>
      </c>
      <c r="L18" s="102" t="s">
        <v>47</v>
      </c>
      <c r="M18" s="64" t="s">
        <v>45</v>
      </c>
      <c r="N18" s="30" t="s">
        <v>46</v>
      </c>
      <c r="O18" s="86" t="s">
        <v>45</v>
      </c>
      <c r="P18" s="36" t="s">
        <v>53</v>
      </c>
      <c r="Q18" s="40" t="s">
        <v>54</v>
      </c>
      <c r="R18" s="43" t="s">
        <v>26</v>
      </c>
      <c r="S18" s="35" t="s">
        <v>51</v>
      </c>
      <c r="T18" s="34" t="s">
        <v>43</v>
      </c>
      <c r="U18" s="38" t="s">
        <v>41</v>
      </c>
      <c r="V18" s="39" t="s">
        <v>49</v>
      </c>
      <c r="W18" s="32" t="s">
        <v>37</v>
      </c>
      <c r="X18" s="42" t="s">
        <v>39</v>
      </c>
      <c r="Y18" s="102" t="s">
        <v>48</v>
      </c>
      <c r="Z18" s="63" t="s">
        <v>54</v>
      </c>
    </row>
    <row r="19" spans="1:26" x14ac:dyDescent="0.2">
      <c r="A19" s="30" t="s">
        <v>50</v>
      </c>
      <c r="B19" s="65" t="s">
        <v>37</v>
      </c>
      <c r="C19" s="33" t="s">
        <v>45</v>
      </c>
      <c r="D19" s="35" t="s">
        <v>51</v>
      </c>
      <c r="E19" s="42" t="s">
        <v>39</v>
      </c>
      <c r="F19" s="43" t="s">
        <v>26</v>
      </c>
      <c r="G19" s="36" t="s">
        <v>53</v>
      </c>
      <c r="H19" s="38" t="s">
        <v>41</v>
      </c>
      <c r="I19" s="34" t="s">
        <v>43</v>
      </c>
      <c r="J19" s="40" t="s">
        <v>54</v>
      </c>
      <c r="K19" s="39" t="s">
        <v>49</v>
      </c>
      <c r="L19" s="83" t="s">
        <v>43</v>
      </c>
      <c r="M19" s="103" t="s">
        <v>48</v>
      </c>
      <c r="N19" s="30" t="s">
        <v>50</v>
      </c>
      <c r="O19" s="83" t="s">
        <v>43</v>
      </c>
      <c r="P19" s="33" t="s">
        <v>45</v>
      </c>
      <c r="Q19" s="32" t="s">
        <v>37</v>
      </c>
      <c r="R19" s="36" t="s">
        <v>53</v>
      </c>
      <c r="S19" s="42" t="s">
        <v>39</v>
      </c>
      <c r="T19" s="40" t="s">
        <v>54</v>
      </c>
      <c r="U19" s="38" t="s">
        <v>41</v>
      </c>
      <c r="V19" s="43" t="s">
        <v>26</v>
      </c>
      <c r="W19" s="39" t="s">
        <v>49</v>
      </c>
      <c r="X19" s="35" t="s">
        <v>51</v>
      </c>
      <c r="Y19" s="85" t="s">
        <v>53</v>
      </c>
      <c r="Z19" s="90" t="s">
        <v>51</v>
      </c>
    </row>
    <row r="20" spans="1:26" ht="16" thickBot="1" x14ac:dyDescent="0.25">
      <c r="A20" s="30" t="s">
        <v>52</v>
      </c>
      <c r="B20" s="66" t="s">
        <v>51</v>
      </c>
      <c r="C20" s="67" t="s">
        <v>41</v>
      </c>
      <c r="D20" s="46" t="s">
        <v>54</v>
      </c>
      <c r="E20" s="68" t="s">
        <v>39</v>
      </c>
      <c r="F20" s="69" t="s">
        <v>43</v>
      </c>
      <c r="G20" s="70" t="s">
        <v>53</v>
      </c>
      <c r="H20" s="71" t="s">
        <v>37</v>
      </c>
      <c r="I20" s="72" t="s">
        <v>26</v>
      </c>
      <c r="J20" s="73" t="s">
        <v>49</v>
      </c>
      <c r="K20" s="74" t="s">
        <v>45</v>
      </c>
      <c r="L20" s="96" t="s">
        <v>49</v>
      </c>
      <c r="M20" s="75" t="s">
        <v>37</v>
      </c>
      <c r="N20" s="30" t="s">
        <v>52</v>
      </c>
      <c r="O20" s="94" t="s">
        <v>45</v>
      </c>
      <c r="P20" s="71" t="s">
        <v>37</v>
      </c>
      <c r="Q20" s="68" t="s">
        <v>39</v>
      </c>
      <c r="R20" s="67" t="s">
        <v>41</v>
      </c>
      <c r="S20" s="72" t="s">
        <v>26</v>
      </c>
      <c r="T20" s="87" t="s">
        <v>51</v>
      </c>
      <c r="U20" s="69" t="s">
        <v>43</v>
      </c>
      <c r="V20" s="70" t="s">
        <v>53</v>
      </c>
      <c r="W20" s="73" t="s">
        <v>49</v>
      </c>
      <c r="X20" s="46" t="s">
        <v>54</v>
      </c>
      <c r="Y20" s="105" t="s">
        <v>47</v>
      </c>
      <c r="Z20" s="88" t="s">
        <v>26</v>
      </c>
    </row>
    <row r="23" spans="1:26" x14ac:dyDescent="0.2">
      <c r="A23" s="294" t="s">
        <v>55</v>
      </c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</row>
    <row r="25" spans="1:26" x14ac:dyDescent="0.2">
      <c r="A25" s="294" t="s">
        <v>56</v>
      </c>
      <c r="B25" s="294"/>
      <c r="C25" s="294"/>
      <c r="D25" s="294"/>
      <c r="E25" s="294"/>
      <c r="F25" s="294"/>
      <c r="G25" s="294"/>
      <c r="H25" s="294"/>
    </row>
    <row r="27" spans="1:26" ht="14.5" customHeight="1" x14ac:dyDescent="0.2">
      <c r="B27" t="s">
        <v>57</v>
      </c>
    </row>
    <row r="28" spans="1:26" ht="16" thickBot="1" x14ac:dyDescent="0.25">
      <c r="B28" s="37" t="s">
        <v>33</v>
      </c>
      <c r="C28" t="s">
        <v>58</v>
      </c>
    </row>
    <row r="29" spans="1:26" x14ac:dyDescent="0.2">
      <c r="B29" s="41" t="s">
        <v>36</v>
      </c>
    </row>
  </sheetData>
  <mergeCells count="2">
    <mergeCell ref="A25:H25"/>
    <mergeCell ref="A23:O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B0E6-2674-42B6-922E-4D555948609A}">
  <dimension ref="A1:M57"/>
  <sheetViews>
    <sheetView topLeftCell="E25" zoomScale="90" zoomScaleNormal="90" workbookViewId="0">
      <selection activeCell="J46" sqref="J46:K55"/>
    </sheetView>
  </sheetViews>
  <sheetFormatPr baseColWidth="10" defaultColWidth="8.83203125" defaultRowHeight="15" x14ac:dyDescent="0.2"/>
  <sheetData>
    <row r="1" spans="1:13" ht="20" thickBot="1" x14ac:dyDescent="0.3">
      <c r="A1" s="107" t="s">
        <v>59</v>
      </c>
      <c r="B1" s="31">
        <v>1</v>
      </c>
      <c r="C1" s="31">
        <v>2</v>
      </c>
      <c r="D1" s="31">
        <v>3</v>
      </c>
      <c r="E1" s="31">
        <v>4</v>
      </c>
      <c r="F1" s="31">
        <v>5</v>
      </c>
      <c r="G1" s="31">
        <v>6</v>
      </c>
      <c r="H1" s="31">
        <v>7</v>
      </c>
      <c r="I1" s="31">
        <v>8</v>
      </c>
      <c r="J1" s="31">
        <v>9</v>
      </c>
      <c r="K1" s="31">
        <v>10</v>
      </c>
      <c r="L1" s="31">
        <v>11</v>
      </c>
      <c r="M1" s="31">
        <v>12</v>
      </c>
    </row>
    <row r="2" spans="1:13" ht="16" thickTop="1" x14ac:dyDescent="0.2">
      <c r="A2" s="30" t="s">
        <v>27</v>
      </c>
      <c r="B2" s="76" t="s">
        <v>28</v>
      </c>
      <c r="C2" s="50" t="s">
        <v>29</v>
      </c>
      <c r="D2" s="51" t="s">
        <v>30</v>
      </c>
      <c r="E2" s="142" t="s">
        <v>31</v>
      </c>
      <c r="F2" s="77" t="s">
        <v>32</v>
      </c>
      <c r="G2" s="54" t="s">
        <v>33</v>
      </c>
      <c r="H2" s="78" t="s">
        <v>34</v>
      </c>
      <c r="I2" s="48" t="s">
        <v>35</v>
      </c>
      <c r="J2" s="55" t="s">
        <v>36</v>
      </c>
      <c r="K2" s="49" t="s">
        <v>25</v>
      </c>
      <c r="L2" s="108" t="s">
        <v>32</v>
      </c>
      <c r="M2" s="109" t="s">
        <v>36</v>
      </c>
    </row>
    <row r="3" spans="1:13" x14ac:dyDescent="0.2">
      <c r="A3" s="30" t="s">
        <v>38</v>
      </c>
      <c r="B3" s="60" t="s">
        <v>30</v>
      </c>
      <c r="C3" s="80" t="s">
        <v>34</v>
      </c>
      <c r="D3" s="43" t="s">
        <v>25</v>
      </c>
      <c r="E3" s="143" t="s">
        <v>31</v>
      </c>
      <c r="F3" s="32" t="s">
        <v>32</v>
      </c>
      <c r="G3" s="39" t="s">
        <v>35</v>
      </c>
      <c r="H3" s="34" t="s">
        <v>29</v>
      </c>
      <c r="I3" s="38" t="s">
        <v>33</v>
      </c>
      <c r="J3" s="33" t="s">
        <v>28</v>
      </c>
      <c r="K3" s="42" t="s">
        <v>36</v>
      </c>
      <c r="L3" s="110" t="s">
        <v>34</v>
      </c>
      <c r="M3" s="111" t="s">
        <v>29</v>
      </c>
    </row>
    <row r="4" spans="1:13" x14ac:dyDescent="0.2">
      <c r="A4" s="30" t="s">
        <v>40</v>
      </c>
      <c r="B4" s="65" t="s">
        <v>32</v>
      </c>
      <c r="C4" s="39" t="s">
        <v>35</v>
      </c>
      <c r="D4" s="80" t="s">
        <v>34</v>
      </c>
      <c r="E4" s="34" t="s">
        <v>29</v>
      </c>
      <c r="F4" s="33" t="s">
        <v>28</v>
      </c>
      <c r="G4" s="43" t="s">
        <v>25</v>
      </c>
      <c r="H4" s="38" t="s">
        <v>33</v>
      </c>
      <c r="I4" s="42" t="s">
        <v>36</v>
      </c>
      <c r="J4" s="143" t="s">
        <v>31</v>
      </c>
      <c r="K4" s="35" t="s">
        <v>30</v>
      </c>
      <c r="L4" s="112" t="s">
        <v>25</v>
      </c>
      <c r="M4" s="113" t="s">
        <v>33</v>
      </c>
    </row>
    <row r="5" spans="1:13" x14ac:dyDescent="0.2">
      <c r="A5" s="30" t="s">
        <v>42</v>
      </c>
      <c r="B5" s="83" t="s">
        <v>29</v>
      </c>
      <c r="C5" s="43" t="s">
        <v>25</v>
      </c>
      <c r="D5" s="32" t="s">
        <v>32</v>
      </c>
      <c r="E5" s="35" t="s">
        <v>30</v>
      </c>
      <c r="F5" s="39" t="s">
        <v>35</v>
      </c>
      <c r="G5" s="80" t="s">
        <v>34</v>
      </c>
      <c r="H5" s="143" t="s">
        <v>31</v>
      </c>
      <c r="I5" s="33" t="s">
        <v>28</v>
      </c>
      <c r="J5" s="42" t="s">
        <v>36</v>
      </c>
      <c r="K5" s="38" t="s">
        <v>33</v>
      </c>
      <c r="L5" s="114" t="s">
        <v>30</v>
      </c>
      <c r="M5" s="144" t="s">
        <v>31</v>
      </c>
    </row>
    <row r="6" spans="1:13" ht="16" thickBot="1" x14ac:dyDescent="0.25">
      <c r="A6" s="30" t="s">
        <v>44</v>
      </c>
      <c r="B6" s="145" t="s">
        <v>31</v>
      </c>
      <c r="C6" s="39" t="s">
        <v>35</v>
      </c>
      <c r="D6" s="42" t="s">
        <v>36</v>
      </c>
      <c r="E6" s="33" t="s">
        <v>28</v>
      </c>
      <c r="F6" s="80" t="s">
        <v>34</v>
      </c>
      <c r="G6" s="35" t="s">
        <v>30</v>
      </c>
      <c r="H6" s="34" t="s">
        <v>29</v>
      </c>
      <c r="I6" s="43" t="s">
        <v>25</v>
      </c>
      <c r="J6" s="32" t="s">
        <v>32</v>
      </c>
      <c r="K6" s="38" t="s">
        <v>33</v>
      </c>
      <c r="L6" s="129" t="s">
        <v>35</v>
      </c>
      <c r="M6" s="154" t="s">
        <v>28</v>
      </c>
    </row>
    <row r="7" spans="1:13" ht="16" thickTop="1" x14ac:dyDescent="0.2">
      <c r="A7" s="30" t="s">
        <v>46</v>
      </c>
      <c r="B7" s="86" t="s">
        <v>28</v>
      </c>
      <c r="C7" s="38" t="s">
        <v>33</v>
      </c>
      <c r="D7" s="43" t="s">
        <v>25</v>
      </c>
      <c r="E7" s="35" t="s">
        <v>30</v>
      </c>
      <c r="F7" s="80" t="s">
        <v>34</v>
      </c>
      <c r="G7" s="34" t="s">
        <v>29</v>
      </c>
      <c r="H7" s="39" t="s">
        <v>35</v>
      </c>
      <c r="I7" s="42" t="s">
        <v>36</v>
      </c>
      <c r="J7" s="32" t="s">
        <v>32</v>
      </c>
      <c r="K7" s="143" t="s">
        <v>31</v>
      </c>
      <c r="L7" s="150" t="s">
        <v>47</v>
      </c>
      <c r="M7" s="118" t="s">
        <v>32</v>
      </c>
    </row>
    <row r="8" spans="1:13" x14ac:dyDescent="0.2">
      <c r="A8" s="30" t="s">
        <v>50</v>
      </c>
      <c r="B8" s="83" t="s">
        <v>29</v>
      </c>
      <c r="C8" s="42" t="s">
        <v>36</v>
      </c>
      <c r="D8" s="33" t="s">
        <v>28</v>
      </c>
      <c r="E8" s="35" t="s">
        <v>30</v>
      </c>
      <c r="F8" s="38" t="s">
        <v>33</v>
      </c>
      <c r="G8" s="43" t="s">
        <v>25</v>
      </c>
      <c r="H8" s="143" t="s">
        <v>31</v>
      </c>
      <c r="I8" s="39" t="s">
        <v>35</v>
      </c>
      <c r="J8" s="80" t="s">
        <v>34</v>
      </c>
      <c r="K8" s="32" t="s">
        <v>32</v>
      </c>
      <c r="L8" s="114" t="s">
        <v>30</v>
      </c>
      <c r="M8" s="115" t="s">
        <v>48</v>
      </c>
    </row>
    <row r="9" spans="1:13" ht="16" thickBot="1" x14ac:dyDescent="0.25">
      <c r="A9" s="30" t="s">
        <v>52</v>
      </c>
      <c r="B9" s="71" t="s">
        <v>32</v>
      </c>
      <c r="C9" s="73" t="s">
        <v>35</v>
      </c>
      <c r="D9" s="74" t="s">
        <v>28</v>
      </c>
      <c r="E9" s="87" t="s">
        <v>30</v>
      </c>
      <c r="F9" s="69" t="s">
        <v>29</v>
      </c>
      <c r="G9" s="146" t="s">
        <v>31</v>
      </c>
      <c r="H9" s="72" t="s">
        <v>25</v>
      </c>
      <c r="I9" s="80" t="s">
        <v>34</v>
      </c>
      <c r="J9" s="67" t="s">
        <v>33</v>
      </c>
      <c r="K9" s="68" t="s">
        <v>36</v>
      </c>
      <c r="L9" s="119" t="s">
        <v>34</v>
      </c>
      <c r="M9" s="120" t="s">
        <v>25</v>
      </c>
    </row>
    <row r="12" spans="1:13" ht="20" thickBot="1" x14ac:dyDescent="0.3">
      <c r="A12" s="106" t="s">
        <v>60</v>
      </c>
      <c r="B12" s="31">
        <v>1</v>
      </c>
      <c r="C12" s="31">
        <v>2</v>
      </c>
      <c r="D12" s="31">
        <v>3</v>
      </c>
      <c r="E12" s="31">
        <v>4</v>
      </c>
      <c r="F12" s="31">
        <v>5</v>
      </c>
      <c r="G12" s="31">
        <v>6</v>
      </c>
      <c r="H12" s="31">
        <v>7</v>
      </c>
      <c r="I12" s="31">
        <v>8</v>
      </c>
      <c r="J12" s="31">
        <v>9</v>
      </c>
      <c r="K12" s="31">
        <v>10</v>
      </c>
      <c r="L12" s="31">
        <v>11</v>
      </c>
      <c r="M12" s="31">
        <v>12</v>
      </c>
    </row>
    <row r="13" spans="1:13" ht="16" thickTop="1" x14ac:dyDescent="0.2">
      <c r="A13" s="30" t="s">
        <v>27</v>
      </c>
      <c r="B13" s="47" t="s">
        <v>37</v>
      </c>
      <c r="C13" s="48" t="s">
        <v>49</v>
      </c>
      <c r="D13" s="49" t="s">
        <v>26</v>
      </c>
      <c r="E13" s="50" t="s">
        <v>43</v>
      </c>
      <c r="F13" s="51" t="s">
        <v>51</v>
      </c>
      <c r="G13" s="52" t="s">
        <v>45</v>
      </c>
      <c r="H13" s="44" t="s">
        <v>54</v>
      </c>
      <c r="I13" s="142" t="s">
        <v>53</v>
      </c>
      <c r="J13" s="54" t="s">
        <v>41</v>
      </c>
      <c r="K13" s="55" t="s">
        <v>39</v>
      </c>
      <c r="L13" s="121" t="s">
        <v>43</v>
      </c>
      <c r="M13" s="147" t="s">
        <v>53</v>
      </c>
    </row>
    <row r="14" spans="1:13" x14ac:dyDescent="0.2">
      <c r="A14" s="30" t="s">
        <v>38</v>
      </c>
      <c r="B14" s="45" t="s">
        <v>54</v>
      </c>
      <c r="C14" s="35" t="s">
        <v>51</v>
      </c>
      <c r="D14" s="38" t="s">
        <v>41</v>
      </c>
      <c r="E14" s="43" t="s">
        <v>26</v>
      </c>
      <c r="F14" s="32" t="s">
        <v>37</v>
      </c>
      <c r="G14" s="33" t="s">
        <v>45</v>
      </c>
      <c r="H14" s="34" t="s">
        <v>43</v>
      </c>
      <c r="I14" s="39" t="s">
        <v>49</v>
      </c>
      <c r="J14" s="42" t="s">
        <v>39</v>
      </c>
      <c r="K14" s="143" t="s">
        <v>53</v>
      </c>
      <c r="L14" s="122" t="s">
        <v>39</v>
      </c>
      <c r="M14" s="123" t="s">
        <v>49</v>
      </c>
    </row>
    <row r="15" spans="1:13" x14ac:dyDescent="0.2">
      <c r="A15" s="30" t="s">
        <v>40</v>
      </c>
      <c r="B15" s="58" t="s">
        <v>49</v>
      </c>
      <c r="C15" s="33" t="s">
        <v>45</v>
      </c>
      <c r="D15" s="43" t="s">
        <v>26</v>
      </c>
      <c r="E15" s="32" t="s">
        <v>37</v>
      </c>
      <c r="F15" s="34" t="s">
        <v>43</v>
      </c>
      <c r="G15" s="143" t="s">
        <v>53</v>
      </c>
      <c r="H15" s="35" t="s">
        <v>51</v>
      </c>
      <c r="I15" s="42" t="s">
        <v>39</v>
      </c>
      <c r="J15" s="38" t="s">
        <v>41</v>
      </c>
      <c r="K15" s="40" t="s">
        <v>54</v>
      </c>
      <c r="L15" s="114" t="s">
        <v>51</v>
      </c>
      <c r="M15" s="118" t="s">
        <v>37</v>
      </c>
    </row>
    <row r="16" spans="1:13" x14ac:dyDescent="0.2">
      <c r="A16" s="30" t="s">
        <v>42</v>
      </c>
      <c r="B16" s="60" t="s">
        <v>51</v>
      </c>
      <c r="C16" s="33" t="s">
        <v>45</v>
      </c>
      <c r="D16" s="34" t="s">
        <v>43</v>
      </c>
      <c r="E16" s="42" t="s">
        <v>39</v>
      </c>
      <c r="F16" s="40" t="s">
        <v>54</v>
      </c>
      <c r="G16" s="38" t="s">
        <v>41</v>
      </c>
      <c r="H16" s="32" t="s">
        <v>37</v>
      </c>
      <c r="I16" s="39" t="s">
        <v>49</v>
      </c>
      <c r="J16" s="143" t="s">
        <v>53</v>
      </c>
      <c r="K16" s="43" t="s">
        <v>26</v>
      </c>
      <c r="L16" s="124" t="s">
        <v>41</v>
      </c>
      <c r="M16" s="125" t="s">
        <v>26</v>
      </c>
    </row>
    <row r="17" spans="1:13" ht="16" thickBot="1" x14ac:dyDescent="0.25">
      <c r="A17" s="30" t="s">
        <v>44</v>
      </c>
      <c r="B17" s="62" t="s">
        <v>41</v>
      </c>
      <c r="C17" s="39" t="s">
        <v>49</v>
      </c>
      <c r="D17" s="40" t="s">
        <v>54</v>
      </c>
      <c r="E17" s="42" t="s">
        <v>39</v>
      </c>
      <c r="F17" s="32" t="s">
        <v>37</v>
      </c>
      <c r="G17" s="34" t="s">
        <v>43</v>
      </c>
      <c r="H17" s="33" t="s">
        <v>45</v>
      </c>
      <c r="I17" s="143" t="s">
        <v>53</v>
      </c>
      <c r="J17" s="35" t="s">
        <v>51</v>
      </c>
      <c r="K17" s="43" t="s">
        <v>26</v>
      </c>
      <c r="L17" s="155" t="s">
        <v>45</v>
      </c>
      <c r="M17" s="156" t="s">
        <v>54</v>
      </c>
    </row>
    <row r="18" spans="1:13" ht="16" thickTop="1" x14ac:dyDescent="0.2">
      <c r="A18" s="30" t="s">
        <v>46</v>
      </c>
      <c r="B18" s="45" t="s">
        <v>54</v>
      </c>
      <c r="C18" s="35" t="s">
        <v>51</v>
      </c>
      <c r="D18" s="143" t="s">
        <v>53</v>
      </c>
      <c r="E18" s="43" t="s">
        <v>26</v>
      </c>
      <c r="F18" s="38" t="s">
        <v>41</v>
      </c>
      <c r="G18" s="42" t="s">
        <v>39</v>
      </c>
      <c r="H18" s="32" t="s">
        <v>37</v>
      </c>
      <c r="I18" s="33" t="s">
        <v>45</v>
      </c>
      <c r="J18" s="39" t="s">
        <v>49</v>
      </c>
      <c r="K18" s="34" t="s">
        <v>43</v>
      </c>
      <c r="L18" s="150" t="s">
        <v>47</v>
      </c>
      <c r="M18" s="117" t="s">
        <v>45</v>
      </c>
    </row>
    <row r="19" spans="1:13" x14ac:dyDescent="0.2">
      <c r="A19" s="30" t="s">
        <v>50</v>
      </c>
      <c r="B19" s="65" t="s">
        <v>37</v>
      </c>
      <c r="C19" s="33" t="s">
        <v>45</v>
      </c>
      <c r="D19" s="35" t="s">
        <v>51</v>
      </c>
      <c r="E19" s="42" t="s">
        <v>39</v>
      </c>
      <c r="F19" s="43" t="s">
        <v>26</v>
      </c>
      <c r="G19" s="143" t="s">
        <v>53</v>
      </c>
      <c r="H19" s="38" t="s">
        <v>41</v>
      </c>
      <c r="I19" s="34" t="s">
        <v>43</v>
      </c>
      <c r="J19" s="40" t="s">
        <v>54</v>
      </c>
      <c r="K19" s="39" t="s">
        <v>49</v>
      </c>
      <c r="L19" s="128" t="s">
        <v>43</v>
      </c>
      <c r="M19" s="115" t="s">
        <v>48</v>
      </c>
    </row>
    <row r="20" spans="1:13" ht="16" thickBot="1" x14ac:dyDescent="0.25">
      <c r="A20" s="30" t="s">
        <v>52</v>
      </c>
      <c r="B20" s="66" t="s">
        <v>51</v>
      </c>
      <c r="C20" s="67" t="s">
        <v>41</v>
      </c>
      <c r="D20" s="46" t="s">
        <v>54</v>
      </c>
      <c r="E20" s="68" t="s">
        <v>39</v>
      </c>
      <c r="F20" s="69" t="s">
        <v>43</v>
      </c>
      <c r="G20" s="146" t="s">
        <v>53</v>
      </c>
      <c r="H20" s="71" t="s">
        <v>37</v>
      </c>
      <c r="I20" s="72" t="s">
        <v>26</v>
      </c>
      <c r="J20" s="73" t="s">
        <v>49</v>
      </c>
      <c r="K20" s="74" t="s">
        <v>45</v>
      </c>
      <c r="L20" s="129" t="s">
        <v>49</v>
      </c>
      <c r="M20" s="130" t="s">
        <v>37</v>
      </c>
    </row>
    <row r="22" spans="1:13" ht="20" thickBot="1" x14ac:dyDescent="0.3">
      <c r="A22" s="106" t="s">
        <v>61</v>
      </c>
      <c r="B22" s="31">
        <v>1</v>
      </c>
      <c r="C22" s="31">
        <v>2</v>
      </c>
      <c r="D22" s="31">
        <v>3</v>
      </c>
      <c r="E22" s="31">
        <v>4</v>
      </c>
      <c r="F22" s="31">
        <v>5</v>
      </c>
      <c r="G22" s="31">
        <v>6</v>
      </c>
      <c r="H22" s="31">
        <v>7</v>
      </c>
      <c r="I22" s="31">
        <v>8</v>
      </c>
      <c r="J22" s="31">
        <v>9</v>
      </c>
      <c r="K22" s="31">
        <v>10</v>
      </c>
      <c r="L22" s="31">
        <v>11</v>
      </c>
      <c r="M22" s="31">
        <v>12</v>
      </c>
    </row>
    <row r="23" spans="1:13" ht="16" thickTop="1" x14ac:dyDescent="0.2">
      <c r="A23" s="30" t="s">
        <v>27</v>
      </c>
      <c r="B23" s="47" t="s">
        <v>32</v>
      </c>
      <c r="C23" s="48" t="s">
        <v>35</v>
      </c>
      <c r="D23" s="49" t="s">
        <v>25</v>
      </c>
      <c r="E23" s="44" t="s">
        <v>34</v>
      </c>
      <c r="F23" s="51" t="s">
        <v>30</v>
      </c>
      <c r="G23" s="52" t="s">
        <v>28</v>
      </c>
      <c r="H23" s="55" t="s">
        <v>36</v>
      </c>
      <c r="I23" s="142" t="s">
        <v>31</v>
      </c>
      <c r="J23" s="54" t="s">
        <v>33</v>
      </c>
      <c r="K23" s="50" t="s">
        <v>29</v>
      </c>
      <c r="L23" s="131" t="s">
        <v>33</v>
      </c>
      <c r="M23" s="147" t="s">
        <v>31</v>
      </c>
    </row>
    <row r="24" spans="1:13" x14ac:dyDescent="0.2">
      <c r="A24" s="30" t="s">
        <v>38</v>
      </c>
      <c r="B24" s="60" t="s">
        <v>30</v>
      </c>
      <c r="C24" s="43" t="s">
        <v>25</v>
      </c>
      <c r="D24" s="143" t="s">
        <v>31</v>
      </c>
      <c r="E24" s="33" t="s">
        <v>28</v>
      </c>
      <c r="F24" s="32" t="s">
        <v>32</v>
      </c>
      <c r="G24" s="40" t="s">
        <v>34</v>
      </c>
      <c r="H24" s="42" t="s">
        <v>36</v>
      </c>
      <c r="I24" s="34" t="s">
        <v>29</v>
      </c>
      <c r="J24" s="39" t="s">
        <v>35</v>
      </c>
      <c r="K24" s="38" t="s">
        <v>33</v>
      </c>
      <c r="L24" s="116" t="s">
        <v>35</v>
      </c>
      <c r="M24" s="127" t="s">
        <v>34</v>
      </c>
    </row>
    <row r="25" spans="1:13" x14ac:dyDescent="0.2">
      <c r="A25" s="30" t="s">
        <v>40</v>
      </c>
      <c r="B25" s="89" t="s">
        <v>25</v>
      </c>
      <c r="C25" s="143" t="s">
        <v>31</v>
      </c>
      <c r="D25" s="34" t="s">
        <v>29</v>
      </c>
      <c r="E25" s="39" t="s">
        <v>35</v>
      </c>
      <c r="F25" s="42" t="s">
        <v>36</v>
      </c>
      <c r="G25" s="40" t="s">
        <v>34</v>
      </c>
      <c r="H25" s="33" t="s">
        <v>28</v>
      </c>
      <c r="I25" s="32" t="s">
        <v>32</v>
      </c>
      <c r="J25" s="38" t="s">
        <v>33</v>
      </c>
      <c r="K25" s="35" t="s">
        <v>30</v>
      </c>
      <c r="L25" s="128" t="s">
        <v>29</v>
      </c>
      <c r="M25" s="132" t="s">
        <v>30</v>
      </c>
    </row>
    <row r="26" spans="1:13" x14ac:dyDescent="0.2">
      <c r="A26" s="30" t="s">
        <v>42</v>
      </c>
      <c r="B26" s="60" t="s">
        <v>30</v>
      </c>
      <c r="C26" s="43" t="s">
        <v>25</v>
      </c>
      <c r="D26" s="38" t="s">
        <v>33</v>
      </c>
      <c r="E26" s="39" t="s">
        <v>35</v>
      </c>
      <c r="F26" s="32" t="s">
        <v>32</v>
      </c>
      <c r="G26" s="40" t="s">
        <v>34</v>
      </c>
      <c r="H26" s="34" t="s">
        <v>29</v>
      </c>
      <c r="I26" s="42" t="s">
        <v>36</v>
      </c>
      <c r="J26" s="143" t="s">
        <v>31</v>
      </c>
      <c r="K26" s="33" t="s">
        <v>28</v>
      </c>
      <c r="L26" s="133" t="s">
        <v>32</v>
      </c>
      <c r="M26" s="117" t="s">
        <v>28</v>
      </c>
    </row>
    <row r="27" spans="1:13" ht="14.5" customHeight="1" thickBot="1" x14ac:dyDescent="0.25">
      <c r="A27" s="30" t="s">
        <v>44</v>
      </c>
      <c r="B27" s="58" t="s">
        <v>35</v>
      </c>
      <c r="C27" s="43" t="s">
        <v>25</v>
      </c>
      <c r="D27" s="34" t="s">
        <v>29</v>
      </c>
      <c r="E27" s="42" t="s">
        <v>36</v>
      </c>
      <c r="F27" s="35" t="s">
        <v>30</v>
      </c>
      <c r="G27" s="143" t="s">
        <v>31</v>
      </c>
      <c r="H27" s="32" t="s">
        <v>32</v>
      </c>
      <c r="I27" s="40" t="s">
        <v>34</v>
      </c>
      <c r="J27" s="38" t="s">
        <v>33</v>
      </c>
      <c r="K27" s="33" t="s">
        <v>28</v>
      </c>
      <c r="L27" s="157" t="s">
        <v>36</v>
      </c>
      <c r="M27" s="120" t="s">
        <v>25</v>
      </c>
    </row>
    <row r="28" spans="1:13" ht="16" thickTop="1" x14ac:dyDescent="0.2">
      <c r="A28" s="30" t="s">
        <v>46</v>
      </c>
      <c r="B28" s="58" t="s">
        <v>35</v>
      </c>
      <c r="C28" s="42" t="s">
        <v>36</v>
      </c>
      <c r="D28" s="143" t="s">
        <v>31</v>
      </c>
      <c r="E28" s="33" t="s">
        <v>28</v>
      </c>
      <c r="F28" s="34" t="s">
        <v>29</v>
      </c>
      <c r="G28" s="35" t="s">
        <v>30</v>
      </c>
      <c r="H28" s="43" t="s">
        <v>25</v>
      </c>
      <c r="I28" s="38" t="s">
        <v>33</v>
      </c>
      <c r="J28" s="40" t="s">
        <v>34</v>
      </c>
      <c r="K28" s="32" t="s">
        <v>32</v>
      </c>
      <c r="L28" s="150" t="s">
        <v>48</v>
      </c>
      <c r="M28" s="117" t="s">
        <v>28</v>
      </c>
    </row>
    <row r="29" spans="1:13" x14ac:dyDescent="0.2">
      <c r="A29" s="30" t="s">
        <v>50</v>
      </c>
      <c r="B29" s="83" t="s">
        <v>29</v>
      </c>
      <c r="C29" s="143" t="s">
        <v>31</v>
      </c>
      <c r="D29" s="38" t="s">
        <v>33</v>
      </c>
      <c r="E29" s="33" t="s">
        <v>28</v>
      </c>
      <c r="F29" s="40" t="s">
        <v>34</v>
      </c>
      <c r="G29" s="43" t="s">
        <v>25</v>
      </c>
      <c r="H29" s="39" t="s">
        <v>35</v>
      </c>
      <c r="I29" s="32" t="s">
        <v>32</v>
      </c>
      <c r="J29" s="42" t="s">
        <v>36</v>
      </c>
      <c r="K29" s="35" t="s">
        <v>30</v>
      </c>
      <c r="L29" s="116" t="s">
        <v>35</v>
      </c>
      <c r="M29" s="144" t="s">
        <v>31</v>
      </c>
    </row>
    <row r="30" spans="1:13" ht="16" thickBot="1" x14ac:dyDescent="0.25">
      <c r="A30" s="30" t="s">
        <v>52</v>
      </c>
      <c r="B30" s="148" t="s">
        <v>31</v>
      </c>
      <c r="C30" s="73" t="s">
        <v>35</v>
      </c>
      <c r="D30" s="67" t="s">
        <v>33</v>
      </c>
      <c r="E30" s="72" t="s">
        <v>25</v>
      </c>
      <c r="F30" s="71" t="s">
        <v>32</v>
      </c>
      <c r="G30" s="46" t="s">
        <v>34</v>
      </c>
      <c r="H30" s="69" t="s">
        <v>29</v>
      </c>
      <c r="I30" s="74" t="s">
        <v>28</v>
      </c>
      <c r="J30" s="87" t="s">
        <v>30</v>
      </c>
      <c r="K30" s="68" t="s">
        <v>36</v>
      </c>
      <c r="L30" s="134" t="s">
        <v>29</v>
      </c>
      <c r="M30" s="151" t="s">
        <v>47</v>
      </c>
    </row>
    <row r="34" spans="1:13" ht="20" thickBot="1" x14ac:dyDescent="0.3">
      <c r="A34" s="106" t="s">
        <v>62</v>
      </c>
      <c r="B34" s="31">
        <v>1</v>
      </c>
      <c r="C34" s="31">
        <v>2</v>
      </c>
      <c r="D34" s="31">
        <v>3</v>
      </c>
      <c r="E34" s="31">
        <v>4</v>
      </c>
      <c r="F34" s="31">
        <v>5</v>
      </c>
      <c r="G34" s="31">
        <v>6</v>
      </c>
      <c r="H34" s="31">
        <v>7</v>
      </c>
      <c r="I34" s="31">
        <v>8</v>
      </c>
      <c r="J34" s="31">
        <v>9</v>
      </c>
      <c r="K34" s="31">
        <v>10</v>
      </c>
      <c r="L34" s="31">
        <v>11</v>
      </c>
      <c r="M34" s="31">
        <v>12</v>
      </c>
    </row>
    <row r="35" spans="1:13" ht="16" thickTop="1" x14ac:dyDescent="0.2">
      <c r="A35" s="30" t="s">
        <v>27</v>
      </c>
      <c r="B35" s="47" t="s">
        <v>37</v>
      </c>
      <c r="C35" s="52" t="s">
        <v>45</v>
      </c>
      <c r="D35" s="54" t="s">
        <v>41</v>
      </c>
      <c r="E35" s="44" t="s">
        <v>54</v>
      </c>
      <c r="F35" s="55" t="s">
        <v>39</v>
      </c>
      <c r="G35" s="50" t="s">
        <v>43</v>
      </c>
      <c r="H35" s="142" t="s">
        <v>53</v>
      </c>
      <c r="I35" s="51" t="s">
        <v>51</v>
      </c>
      <c r="J35" s="49" t="s">
        <v>26</v>
      </c>
      <c r="K35" s="48" t="s">
        <v>49</v>
      </c>
      <c r="L35" s="135" t="s">
        <v>39</v>
      </c>
      <c r="M35" s="136" t="s">
        <v>43</v>
      </c>
    </row>
    <row r="36" spans="1:13" x14ac:dyDescent="0.2">
      <c r="A36" s="30" t="s">
        <v>38</v>
      </c>
      <c r="B36" s="62" t="s">
        <v>41</v>
      </c>
      <c r="C36" s="42" t="s">
        <v>39</v>
      </c>
      <c r="D36" s="43" t="s">
        <v>26</v>
      </c>
      <c r="E36" s="143" t="s">
        <v>53</v>
      </c>
      <c r="F36" s="34" t="s">
        <v>43</v>
      </c>
      <c r="G36" s="39" t="s">
        <v>49</v>
      </c>
      <c r="H36" s="33" t="s">
        <v>45</v>
      </c>
      <c r="I36" s="40" t="s">
        <v>54</v>
      </c>
      <c r="J36" s="32" t="s">
        <v>37</v>
      </c>
      <c r="K36" s="35" t="s">
        <v>51</v>
      </c>
      <c r="L36" s="149" t="s">
        <v>53</v>
      </c>
      <c r="M36" s="113" t="s">
        <v>41</v>
      </c>
    </row>
    <row r="37" spans="1:13" x14ac:dyDescent="0.2">
      <c r="A37" s="30" t="s">
        <v>40</v>
      </c>
      <c r="B37" s="93" t="s">
        <v>39</v>
      </c>
      <c r="C37" s="34" t="s">
        <v>43</v>
      </c>
      <c r="D37" s="35" t="s">
        <v>51</v>
      </c>
      <c r="E37" s="33" t="s">
        <v>45</v>
      </c>
      <c r="F37" s="39" t="s">
        <v>49</v>
      </c>
      <c r="G37" s="143" t="s">
        <v>53</v>
      </c>
      <c r="H37" s="40" t="s">
        <v>54</v>
      </c>
      <c r="I37" s="38" t="s">
        <v>41</v>
      </c>
      <c r="J37" s="43" t="s">
        <v>26</v>
      </c>
      <c r="K37" s="32" t="s">
        <v>37</v>
      </c>
      <c r="L37" s="112" t="s">
        <v>26</v>
      </c>
      <c r="M37" s="127" t="s">
        <v>54</v>
      </c>
    </row>
    <row r="38" spans="1:13" x14ac:dyDescent="0.2">
      <c r="A38" s="30" t="s">
        <v>42</v>
      </c>
      <c r="B38" s="83" t="s">
        <v>43</v>
      </c>
      <c r="C38" s="32" t="s">
        <v>37</v>
      </c>
      <c r="D38" s="38" t="s">
        <v>41</v>
      </c>
      <c r="E38" s="35" t="s">
        <v>51</v>
      </c>
      <c r="F38" s="143" t="s">
        <v>53</v>
      </c>
      <c r="G38" s="42" t="s">
        <v>39</v>
      </c>
      <c r="H38" s="43" t="s">
        <v>26</v>
      </c>
      <c r="I38" s="33" t="s">
        <v>45</v>
      </c>
      <c r="J38" s="40" t="s">
        <v>54</v>
      </c>
      <c r="K38" s="39" t="s">
        <v>49</v>
      </c>
      <c r="L38" s="114" t="s">
        <v>51</v>
      </c>
      <c r="M38" s="117" t="s">
        <v>45</v>
      </c>
    </row>
    <row r="39" spans="1:13" ht="16" thickBot="1" x14ac:dyDescent="0.25">
      <c r="A39" s="30" t="s">
        <v>44</v>
      </c>
      <c r="B39" s="89" t="s">
        <v>26</v>
      </c>
      <c r="C39" s="38" t="s">
        <v>41</v>
      </c>
      <c r="D39" s="39" t="s">
        <v>49</v>
      </c>
      <c r="E39" s="42" t="s">
        <v>39</v>
      </c>
      <c r="F39" s="40" t="s">
        <v>54</v>
      </c>
      <c r="G39" s="33" t="s">
        <v>45</v>
      </c>
      <c r="H39" s="32" t="s">
        <v>37</v>
      </c>
      <c r="I39" s="35" t="s">
        <v>51</v>
      </c>
      <c r="J39" s="34" t="s">
        <v>43</v>
      </c>
      <c r="K39" s="143" t="s">
        <v>53</v>
      </c>
      <c r="L39" s="158" t="s">
        <v>37</v>
      </c>
      <c r="M39" s="159" t="s">
        <v>49</v>
      </c>
    </row>
    <row r="40" spans="1:13" ht="16" thickTop="1" x14ac:dyDescent="0.2">
      <c r="A40" s="30" t="s">
        <v>46</v>
      </c>
      <c r="B40" s="86" t="s">
        <v>45</v>
      </c>
      <c r="C40" s="143" t="s">
        <v>53</v>
      </c>
      <c r="D40" s="40" t="s">
        <v>54</v>
      </c>
      <c r="E40" s="43" t="s">
        <v>26</v>
      </c>
      <c r="F40" s="35" t="s">
        <v>51</v>
      </c>
      <c r="G40" s="34" t="s">
        <v>43</v>
      </c>
      <c r="H40" s="38" t="s">
        <v>41</v>
      </c>
      <c r="I40" s="39" t="s">
        <v>49</v>
      </c>
      <c r="J40" s="32" t="s">
        <v>37</v>
      </c>
      <c r="K40" s="42" t="s">
        <v>39</v>
      </c>
      <c r="L40" s="150" t="s">
        <v>48</v>
      </c>
      <c r="M40" s="127" t="s">
        <v>54</v>
      </c>
    </row>
    <row r="41" spans="1:13" x14ac:dyDescent="0.2">
      <c r="A41" s="30" t="s">
        <v>50</v>
      </c>
      <c r="B41" s="83" t="s">
        <v>43</v>
      </c>
      <c r="C41" s="33" t="s">
        <v>45</v>
      </c>
      <c r="D41" s="32" t="s">
        <v>37</v>
      </c>
      <c r="E41" s="143" t="s">
        <v>53</v>
      </c>
      <c r="F41" s="42" t="s">
        <v>39</v>
      </c>
      <c r="G41" s="40" t="s">
        <v>54</v>
      </c>
      <c r="H41" s="38" t="s">
        <v>41</v>
      </c>
      <c r="I41" s="43" t="s">
        <v>26</v>
      </c>
      <c r="J41" s="39" t="s">
        <v>49</v>
      </c>
      <c r="K41" s="35" t="s">
        <v>51</v>
      </c>
      <c r="L41" s="149" t="s">
        <v>53</v>
      </c>
      <c r="M41" s="132" t="s">
        <v>51</v>
      </c>
    </row>
    <row r="42" spans="1:13" ht="16" thickBot="1" x14ac:dyDescent="0.25">
      <c r="A42" s="30" t="s">
        <v>52</v>
      </c>
      <c r="B42" s="94" t="s">
        <v>45</v>
      </c>
      <c r="C42" s="71" t="s">
        <v>37</v>
      </c>
      <c r="D42" s="68" t="s">
        <v>39</v>
      </c>
      <c r="E42" s="67" t="s">
        <v>41</v>
      </c>
      <c r="F42" s="72" t="s">
        <v>26</v>
      </c>
      <c r="G42" s="87" t="s">
        <v>51</v>
      </c>
      <c r="H42" s="69" t="s">
        <v>43</v>
      </c>
      <c r="I42" s="146" t="s">
        <v>53</v>
      </c>
      <c r="J42" s="73" t="s">
        <v>49</v>
      </c>
      <c r="K42" s="46" t="s">
        <v>54</v>
      </c>
      <c r="L42" s="152" t="s">
        <v>47</v>
      </c>
      <c r="M42" s="120" t="s">
        <v>26</v>
      </c>
    </row>
    <row r="45" spans="1:13" ht="16" thickBot="1" x14ac:dyDescent="0.25"/>
    <row r="46" spans="1:13" ht="16" thickTop="1" x14ac:dyDescent="0.2">
      <c r="F46" s="137" t="s">
        <v>25</v>
      </c>
      <c r="G46" s="138" t="s">
        <v>26</v>
      </c>
      <c r="J46" s="238" t="s">
        <v>63</v>
      </c>
      <c r="K46" s="243" t="s">
        <v>64</v>
      </c>
    </row>
    <row r="47" spans="1:13" x14ac:dyDescent="0.2">
      <c r="F47" s="133" t="s">
        <v>32</v>
      </c>
      <c r="G47" s="118" t="s">
        <v>37</v>
      </c>
      <c r="J47" s="170" t="s">
        <v>65</v>
      </c>
      <c r="K47" s="192" t="s">
        <v>66</v>
      </c>
    </row>
    <row r="48" spans="1:13" x14ac:dyDescent="0.2">
      <c r="F48" s="122" t="s">
        <v>36</v>
      </c>
      <c r="G48" s="139" t="s">
        <v>39</v>
      </c>
      <c r="J48" s="171" t="s">
        <v>67</v>
      </c>
      <c r="K48" s="201" t="s">
        <v>68</v>
      </c>
    </row>
    <row r="49" spans="6:11" x14ac:dyDescent="0.2">
      <c r="F49" s="124" t="s">
        <v>33</v>
      </c>
      <c r="G49" s="113" t="s">
        <v>41</v>
      </c>
      <c r="J49" s="262" t="s">
        <v>69</v>
      </c>
      <c r="K49" s="204" t="s">
        <v>70</v>
      </c>
    </row>
    <row r="50" spans="6:11" x14ac:dyDescent="0.2">
      <c r="F50" s="128" t="s">
        <v>29</v>
      </c>
      <c r="G50" s="111" t="s">
        <v>43</v>
      </c>
      <c r="J50" s="177" t="s">
        <v>71</v>
      </c>
      <c r="K50" s="208" t="s">
        <v>72</v>
      </c>
    </row>
    <row r="51" spans="6:11" x14ac:dyDescent="0.2">
      <c r="F51" s="126" t="s">
        <v>28</v>
      </c>
      <c r="G51" s="117" t="s">
        <v>45</v>
      </c>
      <c r="J51" s="176" t="s">
        <v>73</v>
      </c>
      <c r="K51" s="289" t="s">
        <v>74</v>
      </c>
    </row>
    <row r="52" spans="6:11" x14ac:dyDescent="0.2">
      <c r="F52" s="116" t="s">
        <v>35</v>
      </c>
      <c r="G52" s="123" t="s">
        <v>49</v>
      </c>
      <c r="J52" s="180" t="s">
        <v>75</v>
      </c>
      <c r="K52" s="178" t="s">
        <v>76</v>
      </c>
    </row>
    <row r="53" spans="6:11" x14ac:dyDescent="0.2">
      <c r="F53" s="114" t="s">
        <v>30</v>
      </c>
      <c r="G53" s="132" t="s">
        <v>51</v>
      </c>
      <c r="J53" s="185" t="s">
        <v>77</v>
      </c>
      <c r="K53" s="172" t="s">
        <v>78</v>
      </c>
    </row>
    <row r="54" spans="6:11" x14ac:dyDescent="0.2">
      <c r="F54" s="149" t="s">
        <v>31</v>
      </c>
      <c r="G54" s="144" t="s">
        <v>53</v>
      </c>
      <c r="J54" s="170" t="s">
        <v>79</v>
      </c>
      <c r="K54" s="213" t="s">
        <v>80</v>
      </c>
    </row>
    <row r="55" spans="6:11" x14ac:dyDescent="0.2">
      <c r="F55" s="140" t="s">
        <v>34</v>
      </c>
      <c r="G55" s="141" t="s">
        <v>54</v>
      </c>
      <c r="J55" s="275" t="s">
        <v>81</v>
      </c>
    </row>
    <row r="56" spans="6:11" ht="16" thickBot="1" x14ac:dyDescent="0.25">
      <c r="F56" s="152" t="s">
        <v>47</v>
      </c>
      <c r="G56" s="153" t="s">
        <v>48</v>
      </c>
    </row>
    <row r="57" spans="6:11" ht="16" thickTop="1" x14ac:dyDescent="0.2"/>
  </sheetData>
  <pageMargins left="0.7" right="0.7" top="0.75" bottom="0.75" header="0.3" footer="0.3"/>
  <pageSetup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0438-D6BA-4120-9EBA-528A7D764F13}">
  <dimension ref="A1:T94"/>
  <sheetViews>
    <sheetView tabSelected="1" zoomScale="125" workbookViewId="0">
      <selection activeCell="Q1" sqref="Q1"/>
    </sheetView>
  </sheetViews>
  <sheetFormatPr baseColWidth="10" defaultColWidth="8.83203125" defaultRowHeight="15" x14ac:dyDescent="0.2"/>
  <cols>
    <col min="20" max="20" width="11.5" bestFit="1" customWidth="1"/>
  </cols>
  <sheetData>
    <row r="1" spans="1:20" ht="20" thickBot="1" x14ac:dyDescent="0.3">
      <c r="B1" s="107" t="s">
        <v>59</v>
      </c>
      <c r="C1" s="31">
        <v>1</v>
      </c>
      <c r="D1" s="31">
        <v>2</v>
      </c>
      <c r="E1" s="31">
        <v>3</v>
      </c>
      <c r="F1" s="31">
        <v>4</v>
      </c>
      <c r="G1" s="31">
        <v>5</v>
      </c>
      <c r="H1" s="31">
        <v>6</v>
      </c>
      <c r="I1" s="31">
        <v>7</v>
      </c>
      <c r="J1" s="31">
        <v>8</v>
      </c>
      <c r="K1" s="31">
        <v>9</v>
      </c>
      <c r="L1" s="31">
        <v>10</v>
      </c>
      <c r="M1" s="31">
        <v>11</v>
      </c>
      <c r="N1" s="31">
        <v>12</v>
      </c>
      <c r="Q1" t="s">
        <v>155</v>
      </c>
      <c r="R1" s="170" t="s">
        <v>117</v>
      </c>
      <c r="S1" t="str" cm="1">
        <f t="array" ref="S1:S10">TRANSPOSE(C2:L2)</f>
        <v>PHG47</v>
      </c>
      <c r="T1" t="str">
        <f>_xlfn.CONCAT(R1,"-",S1)</f>
        <v>S12-2-PHG47</v>
      </c>
    </row>
    <row r="2" spans="1:20" ht="16" thickTop="1" x14ac:dyDescent="0.2">
      <c r="A2" s="170" t="s">
        <v>117</v>
      </c>
      <c r="B2" s="30" t="s">
        <v>27</v>
      </c>
      <c r="C2" s="160" t="s">
        <v>17</v>
      </c>
      <c r="D2" s="161">
        <v>764</v>
      </c>
      <c r="E2" s="161" t="s">
        <v>19</v>
      </c>
      <c r="F2" s="161" t="s">
        <v>18</v>
      </c>
      <c r="G2" s="161" t="s">
        <v>15</v>
      </c>
      <c r="H2" s="161" t="s">
        <v>13</v>
      </c>
      <c r="I2" s="161" t="s">
        <v>20</v>
      </c>
      <c r="J2" s="161" t="s">
        <v>12</v>
      </c>
      <c r="K2" s="161" t="s">
        <v>16</v>
      </c>
      <c r="L2" s="161" t="s">
        <v>14</v>
      </c>
      <c r="M2" s="225" t="s">
        <v>15</v>
      </c>
      <c r="N2" s="226" t="s">
        <v>16</v>
      </c>
      <c r="R2" s="170" t="s">
        <v>117</v>
      </c>
      <c r="S2">
        <v>764</v>
      </c>
      <c r="T2" t="str">
        <f t="shared" ref="T2:T65" si="0">_xlfn.CONCAT(R2,"-",S2)</f>
        <v>S12-2-764</v>
      </c>
    </row>
    <row r="3" spans="1:20" x14ac:dyDescent="0.2">
      <c r="A3" s="171" t="s">
        <v>118</v>
      </c>
      <c r="B3" s="30" t="s">
        <v>38</v>
      </c>
      <c r="C3" s="162" t="s">
        <v>19</v>
      </c>
      <c r="D3" s="163" t="s">
        <v>20</v>
      </c>
      <c r="E3" s="163" t="s">
        <v>14</v>
      </c>
      <c r="F3" s="163" t="s">
        <v>18</v>
      </c>
      <c r="G3" s="163" t="s">
        <v>15</v>
      </c>
      <c r="H3" s="163" t="s">
        <v>12</v>
      </c>
      <c r="I3" s="163">
        <v>764</v>
      </c>
      <c r="J3" s="163" t="s">
        <v>13</v>
      </c>
      <c r="K3" s="163" t="s">
        <v>17</v>
      </c>
      <c r="L3" s="163" t="s">
        <v>16</v>
      </c>
      <c r="M3" s="227" t="s">
        <v>20</v>
      </c>
      <c r="N3" s="228">
        <v>764</v>
      </c>
      <c r="R3" s="170" t="s">
        <v>117</v>
      </c>
      <c r="S3" t="str">
        <v>HP301</v>
      </c>
      <c r="T3" t="str">
        <f t="shared" si="0"/>
        <v>S12-2-HP301</v>
      </c>
    </row>
    <row r="4" spans="1:20" x14ac:dyDescent="0.2">
      <c r="A4" s="262" t="s">
        <v>119</v>
      </c>
      <c r="B4" s="30" t="s">
        <v>40</v>
      </c>
      <c r="C4" s="266" t="s">
        <v>15</v>
      </c>
      <c r="D4" s="267" t="s">
        <v>12</v>
      </c>
      <c r="E4" s="267" t="s">
        <v>20</v>
      </c>
      <c r="F4" s="267">
        <v>764</v>
      </c>
      <c r="G4" s="267" t="s">
        <v>17</v>
      </c>
      <c r="H4" s="267" t="s">
        <v>14</v>
      </c>
      <c r="I4" s="267" t="s">
        <v>13</v>
      </c>
      <c r="J4" s="267" t="s">
        <v>16</v>
      </c>
      <c r="K4" s="267" t="s">
        <v>18</v>
      </c>
      <c r="L4" s="267" t="s">
        <v>19</v>
      </c>
      <c r="M4" s="227" t="s">
        <v>14</v>
      </c>
      <c r="N4" s="228" t="s">
        <v>13</v>
      </c>
      <c r="O4" s="231" t="s">
        <v>149</v>
      </c>
      <c r="R4" s="170" t="s">
        <v>117</v>
      </c>
      <c r="S4" t="str">
        <v>PHG39</v>
      </c>
      <c r="T4" t="str">
        <f t="shared" si="0"/>
        <v>S12-2-PHG39</v>
      </c>
    </row>
    <row r="5" spans="1:20" x14ac:dyDescent="0.2">
      <c r="A5" s="177" t="s">
        <v>120</v>
      </c>
      <c r="B5" s="30" t="s">
        <v>42</v>
      </c>
      <c r="C5" s="166">
        <v>764</v>
      </c>
      <c r="D5" s="167" t="s">
        <v>14</v>
      </c>
      <c r="E5" s="167" t="s">
        <v>15</v>
      </c>
      <c r="F5" s="167" t="s">
        <v>19</v>
      </c>
      <c r="G5" s="167" t="s">
        <v>12</v>
      </c>
      <c r="H5" s="167" t="s">
        <v>20</v>
      </c>
      <c r="I5" s="167" t="s">
        <v>18</v>
      </c>
      <c r="J5" s="167" t="s">
        <v>17</v>
      </c>
      <c r="K5" s="167" t="s">
        <v>16</v>
      </c>
      <c r="L5" s="167" t="s">
        <v>13</v>
      </c>
      <c r="M5" s="227" t="s">
        <v>19</v>
      </c>
      <c r="N5" s="228" t="s">
        <v>18</v>
      </c>
      <c r="R5" s="170" t="s">
        <v>117</v>
      </c>
      <c r="S5" t="str">
        <v>A554</v>
      </c>
      <c r="T5" t="str">
        <f t="shared" si="0"/>
        <v>S12-2-A554</v>
      </c>
    </row>
    <row r="6" spans="1:20" ht="16" thickBot="1" x14ac:dyDescent="0.25">
      <c r="A6" s="176" t="s">
        <v>121</v>
      </c>
      <c r="B6" s="30" t="s">
        <v>44</v>
      </c>
      <c r="C6" s="164" t="s">
        <v>18</v>
      </c>
      <c r="D6" s="165" t="s">
        <v>12</v>
      </c>
      <c r="E6" s="165" t="s">
        <v>16</v>
      </c>
      <c r="F6" s="165" t="s">
        <v>17</v>
      </c>
      <c r="G6" s="165" t="s">
        <v>20</v>
      </c>
      <c r="H6" s="165" t="s">
        <v>19</v>
      </c>
      <c r="I6" s="165">
        <v>764</v>
      </c>
      <c r="J6" s="165" t="s">
        <v>14</v>
      </c>
      <c r="K6" s="165" t="s">
        <v>15</v>
      </c>
      <c r="L6" s="165" t="s">
        <v>13</v>
      </c>
      <c r="M6" s="229" t="s">
        <v>12</v>
      </c>
      <c r="N6" s="230" t="s">
        <v>17</v>
      </c>
      <c r="R6" s="170" t="s">
        <v>117</v>
      </c>
      <c r="S6" t="str">
        <v>PHG35</v>
      </c>
      <c r="T6" t="str">
        <f t="shared" si="0"/>
        <v>S12-2-PHG35</v>
      </c>
    </row>
    <row r="7" spans="1:20" ht="16" thickTop="1" x14ac:dyDescent="0.2">
      <c r="A7" s="180" t="s">
        <v>122</v>
      </c>
      <c r="B7" s="30" t="s">
        <v>46</v>
      </c>
      <c r="C7" s="181" t="s">
        <v>17</v>
      </c>
      <c r="D7" s="182" t="s">
        <v>13</v>
      </c>
      <c r="E7" s="182" t="s">
        <v>14</v>
      </c>
      <c r="F7" s="182" t="s">
        <v>19</v>
      </c>
      <c r="G7" s="182" t="s">
        <v>20</v>
      </c>
      <c r="H7" s="182">
        <v>764</v>
      </c>
      <c r="I7" s="182" t="s">
        <v>12</v>
      </c>
      <c r="J7" s="182" t="s">
        <v>16</v>
      </c>
      <c r="K7" s="182" t="s">
        <v>15</v>
      </c>
      <c r="L7" s="182" t="s">
        <v>18</v>
      </c>
      <c r="M7" s="285" t="s">
        <v>47</v>
      </c>
      <c r="N7" s="245" t="s">
        <v>15</v>
      </c>
      <c r="R7" s="170" t="s">
        <v>117</v>
      </c>
      <c r="S7" t="str">
        <v>FBB0</v>
      </c>
      <c r="T7" t="str">
        <f t="shared" si="0"/>
        <v>S12-2-FBB0</v>
      </c>
    </row>
    <row r="8" spans="1:20" x14ac:dyDescent="0.2">
      <c r="A8" s="185" t="s">
        <v>123</v>
      </c>
      <c r="B8" s="30" t="s">
        <v>50</v>
      </c>
      <c r="C8" s="186">
        <v>764</v>
      </c>
      <c r="D8" s="187" t="s">
        <v>16</v>
      </c>
      <c r="E8" s="187" t="s">
        <v>17</v>
      </c>
      <c r="F8" s="187" t="s">
        <v>19</v>
      </c>
      <c r="G8" s="187" t="s">
        <v>13</v>
      </c>
      <c r="H8" s="187" t="s">
        <v>14</v>
      </c>
      <c r="I8" s="187" t="s">
        <v>18</v>
      </c>
      <c r="J8" s="187" t="s">
        <v>12</v>
      </c>
      <c r="K8" s="187" t="s">
        <v>20</v>
      </c>
      <c r="L8" s="187" t="s">
        <v>15</v>
      </c>
      <c r="M8" s="244" t="s">
        <v>19</v>
      </c>
      <c r="N8" s="288" t="s">
        <v>48</v>
      </c>
      <c r="O8" s="243" t="s">
        <v>150</v>
      </c>
      <c r="R8" s="170" t="s">
        <v>117</v>
      </c>
      <c r="S8" t="str">
        <v>NC262</v>
      </c>
      <c r="T8" t="str">
        <f t="shared" si="0"/>
        <v>S12-2-NC262</v>
      </c>
    </row>
    <row r="9" spans="1:20" ht="16" thickBot="1" x14ac:dyDescent="0.25">
      <c r="A9" s="170" t="s">
        <v>124</v>
      </c>
      <c r="B9" s="30" t="s">
        <v>52</v>
      </c>
      <c r="C9" s="190" t="s">
        <v>15</v>
      </c>
      <c r="D9" s="190" t="s">
        <v>12</v>
      </c>
      <c r="E9" s="190" t="s">
        <v>17</v>
      </c>
      <c r="F9" s="190" t="s">
        <v>19</v>
      </c>
      <c r="G9" s="190">
        <v>764</v>
      </c>
      <c r="H9" s="190" t="s">
        <v>18</v>
      </c>
      <c r="I9" s="190" t="s">
        <v>14</v>
      </c>
      <c r="J9" s="191" t="s">
        <v>20</v>
      </c>
      <c r="K9" s="190" t="s">
        <v>13</v>
      </c>
      <c r="L9" s="190" t="s">
        <v>16</v>
      </c>
      <c r="M9" s="246" t="s">
        <v>20</v>
      </c>
      <c r="N9" s="242" t="s">
        <v>14</v>
      </c>
      <c r="R9" s="170" t="s">
        <v>117</v>
      </c>
      <c r="S9" t="str">
        <v>LH60</v>
      </c>
      <c r="T9" t="str">
        <f t="shared" si="0"/>
        <v>S12-2-LH60</v>
      </c>
    </row>
    <row r="10" spans="1:20" x14ac:dyDescent="0.2">
      <c r="R10" s="170" t="s">
        <v>117</v>
      </c>
      <c r="S10" t="str">
        <v>B57</v>
      </c>
      <c r="T10" t="str">
        <f t="shared" si="0"/>
        <v>S12-2-B57</v>
      </c>
    </row>
    <row r="11" spans="1:20" ht="17" customHeight="1" x14ac:dyDescent="0.2">
      <c r="R11" s="231" t="s">
        <v>149</v>
      </c>
      <c r="S11" t="str" cm="1">
        <f t="array" ref="S11:S12">TRANSPOSE(M2:N2)</f>
        <v>A554</v>
      </c>
      <c r="T11" t="str">
        <f t="shared" si="0"/>
        <v>S6-2-A554</v>
      </c>
    </row>
    <row r="12" spans="1:20" ht="17" customHeight="1" x14ac:dyDescent="0.2">
      <c r="R12" s="231" t="s">
        <v>149</v>
      </c>
      <c r="S12" t="str">
        <v>LH60</v>
      </c>
      <c r="T12" t="str">
        <f t="shared" si="0"/>
        <v>S6-2-LH60</v>
      </c>
    </row>
    <row r="13" spans="1:20" ht="17" customHeight="1" x14ac:dyDescent="0.2">
      <c r="R13" s="171" t="s">
        <v>118</v>
      </c>
      <c r="S13" t="str" cm="1">
        <f t="array" ref="S13:S22">TRANSPOSE(C3:L3)</f>
        <v>HP301</v>
      </c>
      <c r="T13" t="str">
        <f t="shared" si="0"/>
        <v>S3-2-HP301</v>
      </c>
    </row>
    <row r="14" spans="1:20" ht="17" customHeight="1" x14ac:dyDescent="0.2">
      <c r="R14" s="171" t="s">
        <v>118</v>
      </c>
      <c r="S14" t="str">
        <v>FBB0</v>
      </c>
      <c r="T14" t="str">
        <f t="shared" si="0"/>
        <v>S3-2-FBB0</v>
      </c>
    </row>
    <row r="15" spans="1:20" ht="17" customHeight="1" x14ac:dyDescent="0.2">
      <c r="R15" s="171" t="s">
        <v>118</v>
      </c>
      <c r="S15" t="str">
        <v>B57</v>
      </c>
      <c r="T15" t="str">
        <f t="shared" si="0"/>
        <v>S3-2-B57</v>
      </c>
    </row>
    <row r="16" spans="1:20" ht="16" customHeight="1" x14ac:dyDescent="0.2">
      <c r="R16" s="171" t="s">
        <v>118</v>
      </c>
      <c r="S16" t="str">
        <v>PHG39</v>
      </c>
      <c r="T16" t="str">
        <f t="shared" si="0"/>
        <v>S3-2-PHG39</v>
      </c>
    </row>
    <row r="17" spans="1:20" ht="16" customHeight="1" x14ac:dyDescent="0.2">
      <c r="R17" s="171" t="s">
        <v>118</v>
      </c>
      <c r="S17" t="str">
        <v>A554</v>
      </c>
      <c r="T17" t="str">
        <f t="shared" si="0"/>
        <v>S3-2-A554</v>
      </c>
    </row>
    <row r="18" spans="1:20" ht="16" customHeight="1" x14ac:dyDescent="0.2">
      <c r="R18" s="171" t="s">
        <v>118</v>
      </c>
      <c r="S18" t="str">
        <v>NC262</v>
      </c>
      <c r="T18" t="str">
        <f t="shared" si="0"/>
        <v>S3-2-NC262</v>
      </c>
    </row>
    <row r="19" spans="1:20" ht="16" customHeight="1" x14ac:dyDescent="0.2">
      <c r="R19" s="171" t="s">
        <v>118</v>
      </c>
      <c r="S19">
        <v>764</v>
      </c>
      <c r="T19" t="str">
        <f t="shared" si="0"/>
        <v>S3-2-764</v>
      </c>
    </row>
    <row r="20" spans="1:20" x14ac:dyDescent="0.2">
      <c r="R20" s="171" t="s">
        <v>118</v>
      </c>
      <c r="S20" t="str">
        <v>PHG35</v>
      </c>
      <c r="T20" t="str">
        <f t="shared" si="0"/>
        <v>S3-2-PHG35</v>
      </c>
    </row>
    <row r="21" spans="1:20" ht="20" thickBot="1" x14ac:dyDescent="0.3">
      <c r="B21" s="106" t="s">
        <v>60</v>
      </c>
      <c r="C21" s="31">
        <v>1</v>
      </c>
      <c r="D21" s="31">
        <v>2</v>
      </c>
      <c r="E21" s="31">
        <v>3</v>
      </c>
      <c r="F21" s="31">
        <v>4</v>
      </c>
      <c r="G21" s="31">
        <v>5</v>
      </c>
      <c r="H21" s="31">
        <v>6</v>
      </c>
      <c r="I21" s="31">
        <v>7</v>
      </c>
      <c r="J21" s="31">
        <v>8</v>
      </c>
      <c r="K21" s="31">
        <v>9</v>
      </c>
      <c r="L21" s="31">
        <v>10</v>
      </c>
      <c r="M21" s="31">
        <v>11</v>
      </c>
      <c r="N21" s="31">
        <v>12</v>
      </c>
      <c r="R21" s="171" t="s">
        <v>118</v>
      </c>
      <c r="S21" t="str">
        <v>PHG47</v>
      </c>
      <c r="T21" t="str">
        <f t="shared" si="0"/>
        <v>S3-2-PHG47</v>
      </c>
    </row>
    <row r="22" spans="1:20" ht="16" thickTop="1" x14ac:dyDescent="0.2">
      <c r="A22" s="192" t="s">
        <v>125</v>
      </c>
      <c r="B22" s="30" t="s">
        <v>27</v>
      </c>
      <c r="C22" s="193" t="s">
        <v>15</v>
      </c>
      <c r="D22" s="194" t="s">
        <v>12</v>
      </c>
      <c r="E22" s="194" t="s">
        <v>14</v>
      </c>
      <c r="F22" s="194">
        <v>764</v>
      </c>
      <c r="G22" s="194" t="s">
        <v>19</v>
      </c>
      <c r="H22" s="194" t="s">
        <v>17</v>
      </c>
      <c r="I22" s="195" t="s">
        <v>20</v>
      </c>
      <c r="J22" s="194" t="s">
        <v>18</v>
      </c>
      <c r="K22" s="194" t="s">
        <v>13</v>
      </c>
      <c r="L22" s="194" t="s">
        <v>16</v>
      </c>
      <c r="M22" s="248">
        <v>764</v>
      </c>
      <c r="N22" s="249" t="s">
        <v>18</v>
      </c>
      <c r="R22" s="171" t="s">
        <v>118</v>
      </c>
      <c r="S22" t="str">
        <v>LH60</v>
      </c>
      <c r="T22" t="str">
        <f t="shared" si="0"/>
        <v>S3-2-LH60</v>
      </c>
    </row>
    <row r="23" spans="1:20" x14ac:dyDescent="0.2">
      <c r="A23" s="201" t="s">
        <v>126</v>
      </c>
      <c r="B23" s="30" t="s">
        <v>38</v>
      </c>
      <c r="C23" s="199" t="s">
        <v>20</v>
      </c>
      <c r="D23" s="200" t="s">
        <v>19</v>
      </c>
      <c r="E23" s="200" t="s">
        <v>13</v>
      </c>
      <c r="F23" s="200" t="s">
        <v>14</v>
      </c>
      <c r="G23" s="200" t="s">
        <v>15</v>
      </c>
      <c r="H23" s="200" t="s">
        <v>17</v>
      </c>
      <c r="I23" s="200">
        <v>764</v>
      </c>
      <c r="J23" s="200" t="s">
        <v>12</v>
      </c>
      <c r="K23" s="200" t="s">
        <v>16</v>
      </c>
      <c r="L23" s="200" t="s">
        <v>18</v>
      </c>
      <c r="M23" s="250" t="s">
        <v>16</v>
      </c>
      <c r="N23" s="251" t="s">
        <v>12</v>
      </c>
      <c r="R23" s="231" t="s">
        <v>149</v>
      </c>
      <c r="S23" t="str" cm="1">
        <f t="array" ref="S23:S24">TRANSPOSE(M3:N3)</f>
        <v>FBB0</v>
      </c>
      <c r="T23" t="str">
        <f t="shared" si="0"/>
        <v>S6-2-FBB0</v>
      </c>
    </row>
    <row r="24" spans="1:20" x14ac:dyDescent="0.2">
      <c r="A24" s="204" t="s">
        <v>127</v>
      </c>
      <c r="B24" s="30" t="s">
        <v>40</v>
      </c>
      <c r="C24" s="205" t="s">
        <v>12</v>
      </c>
      <c r="D24" s="206" t="s">
        <v>17</v>
      </c>
      <c r="E24" s="206" t="s">
        <v>14</v>
      </c>
      <c r="F24" s="206" t="s">
        <v>15</v>
      </c>
      <c r="G24" s="206">
        <v>764</v>
      </c>
      <c r="H24" s="206" t="s">
        <v>18</v>
      </c>
      <c r="I24" s="206" t="s">
        <v>19</v>
      </c>
      <c r="J24" s="206" t="s">
        <v>16</v>
      </c>
      <c r="K24" s="206" t="s">
        <v>13</v>
      </c>
      <c r="L24" s="207" t="s">
        <v>20</v>
      </c>
      <c r="M24" s="250" t="s">
        <v>19</v>
      </c>
      <c r="N24" s="251" t="s">
        <v>15</v>
      </c>
      <c r="O24" s="247" t="s">
        <v>151</v>
      </c>
      <c r="R24" s="231" t="s">
        <v>149</v>
      </c>
      <c r="S24">
        <v>764</v>
      </c>
      <c r="T24" t="str">
        <f t="shared" si="0"/>
        <v>S6-2-764</v>
      </c>
    </row>
    <row r="25" spans="1:20" x14ac:dyDescent="0.2">
      <c r="A25" s="208" t="s">
        <v>128</v>
      </c>
      <c r="B25" s="30" t="s">
        <v>42</v>
      </c>
      <c r="C25" s="209" t="s">
        <v>19</v>
      </c>
      <c r="D25" s="169" t="s">
        <v>17</v>
      </c>
      <c r="E25" s="169">
        <v>764</v>
      </c>
      <c r="F25" s="169" t="s">
        <v>16</v>
      </c>
      <c r="G25" s="210" t="s">
        <v>20</v>
      </c>
      <c r="H25" s="169" t="s">
        <v>13</v>
      </c>
      <c r="I25" s="169" t="s">
        <v>15</v>
      </c>
      <c r="J25" s="169" t="s">
        <v>12</v>
      </c>
      <c r="K25" s="169" t="s">
        <v>18</v>
      </c>
      <c r="L25" s="169" t="s">
        <v>14</v>
      </c>
      <c r="M25" s="250" t="s">
        <v>13</v>
      </c>
      <c r="N25" s="251" t="s">
        <v>14</v>
      </c>
      <c r="R25" s="262" t="s">
        <v>119</v>
      </c>
      <c r="S25" t="str" cm="1">
        <f t="array" ref="S25:S34">TRANSPOSE(C4:L4)</f>
        <v>A554</v>
      </c>
      <c r="T25" t="str">
        <f t="shared" si="0"/>
        <v>S15-2-A554</v>
      </c>
    </row>
    <row r="26" spans="1:20" ht="16" thickBot="1" x14ac:dyDescent="0.25">
      <c r="A26" s="289" t="s">
        <v>129</v>
      </c>
      <c r="B26" s="30" t="s">
        <v>44</v>
      </c>
      <c r="C26" s="290" t="s">
        <v>13</v>
      </c>
      <c r="D26" s="291" t="s">
        <v>12</v>
      </c>
      <c r="E26" s="292" t="s">
        <v>20</v>
      </c>
      <c r="F26" s="291" t="s">
        <v>16</v>
      </c>
      <c r="G26" s="291" t="s">
        <v>15</v>
      </c>
      <c r="H26" s="291">
        <v>764</v>
      </c>
      <c r="I26" s="291" t="s">
        <v>17</v>
      </c>
      <c r="J26" s="291" t="s">
        <v>18</v>
      </c>
      <c r="K26" s="291" t="s">
        <v>19</v>
      </c>
      <c r="L26" s="291" t="s">
        <v>14</v>
      </c>
      <c r="M26" s="252" t="s">
        <v>17</v>
      </c>
      <c r="N26" s="253" t="s">
        <v>20</v>
      </c>
      <c r="R26" s="262" t="s">
        <v>119</v>
      </c>
      <c r="S26" t="str">
        <v>NC262</v>
      </c>
      <c r="T26" t="str">
        <f t="shared" si="0"/>
        <v>S15-2-NC262</v>
      </c>
    </row>
    <row r="27" spans="1:20" ht="16" thickTop="1" x14ac:dyDescent="0.2">
      <c r="A27" s="178" t="s">
        <v>130</v>
      </c>
      <c r="B27" s="30" t="s">
        <v>46</v>
      </c>
      <c r="C27" s="179" t="s">
        <v>20</v>
      </c>
      <c r="D27" s="167" t="s">
        <v>19</v>
      </c>
      <c r="E27" s="167" t="s">
        <v>18</v>
      </c>
      <c r="F27" s="167" t="s">
        <v>14</v>
      </c>
      <c r="G27" s="167" t="s">
        <v>13</v>
      </c>
      <c r="H27" s="167" t="s">
        <v>16</v>
      </c>
      <c r="I27" s="167" t="s">
        <v>15</v>
      </c>
      <c r="J27" s="167" t="s">
        <v>17</v>
      </c>
      <c r="K27" s="167" t="s">
        <v>12</v>
      </c>
      <c r="L27" s="167">
        <v>764</v>
      </c>
      <c r="M27" s="285" t="s">
        <v>47</v>
      </c>
      <c r="N27" s="221" t="s">
        <v>17</v>
      </c>
      <c r="R27" s="262" t="s">
        <v>119</v>
      </c>
      <c r="S27" t="str">
        <v>FBB0</v>
      </c>
      <c r="T27" t="str">
        <f t="shared" si="0"/>
        <v>S15-2-FBB0</v>
      </c>
    </row>
    <row r="28" spans="1:20" x14ac:dyDescent="0.2">
      <c r="A28" s="172" t="s">
        <v>131</v>
      </c>
      <c r="B28" s="30" t="s">
        <v>50</v>
      </c>
      <c r="C28" s="173" t="s">
        <v>15</v>
      </c>
      <c r="D28" s="174" t="s">
        <v>17</v>
      </c>
      <c r="E28" s="174" t="s">
        <v>19</v>
      </c>
      <c r="F28" s="174" t="s">
        <v>16</v>
      </c>
      <c r="G28" s="174" t="s">
        <v>14</v>
      </c>
      <c r="H28" s="174" t="s">
        <v>18</v>
      </c>
      <c r="I28" s="174" t="s">
        <v>13</v>
      </c>
      <c r="J28" s="174">
        <v>764</v>
      </c>
      <c r="K28" s="175" t="s">
        <v>20</v>
      </c>
      <c r="L28" s="174" t="s">
        <v>12</v>
      </c>
      <c r="M28" s="220">
        <v>764</v>
      </c>
      <c r="N28" s="288" t="s">
        <v>48</v>
      </c>
      <c r="O28" s="224" t="s">
        <v>152</v>
      </c>
      <c r="R28" s="262" t="s">
        <v>119</v>
      </c>
      <c r="S28">
        <v>764</v>
      </c>
      <c r="T28" t="str">
        <f t="shared" si="0"/>
        <v>S15-2-764</v>
      </c>
    </row>
    <row r="29" spans="1:20" ht="16" thickBot="1" x14ac:dyDescent="0.25">
      <c r="A29" s="213" t="s">
        <v>132</v>
      </c>
      <c r="B29" s="30" t="s">
        <v>52</v>
      </c>
      <c r="C29" s="214" t="s">
        <v>19</v>
      </c>
      <c r="D29" s="215" t="s">
        <v>13</v>
      </c>
      <c r="E29" s="216" t="s">
        <v>20</v>
      </c>
      <c r="F29" s="215" t="s">
        <v>16</v>
      </c>
      <c r="G29" s="215">
        <v>764</v>
      </c>
      <c r="H29" s="215" t="s">
        <v>18</v>
      </c>
      <c r="I29" s="215" t="s">
        <v>15</v>
      </c>
      <c r="J29" s="215" t="s">
        <v>14</v>
      </c>
      <c r="K29" s="215" t="s">
        <v>12</v>
      </c>
      <c r="L29" s="215" t="s">
        <v>17</v>
      </c>
      <c r="M29" s="222" t="s">
        <v>12</v>
      </c>
      <c r="N29" s="223" t="s">
        <v>15</v>
      </c>
      <c r="R29" s="262" t="s">
        <v>119</v>
      </c>
      <c r="S29" t="str">
        <v>PHG47</v>
      </c>
      <c r="T29" t="str">
        <f t="shared" si="0"/>
        <v>S15-2-PHG47</v>
      </c>
    </row>
    <row r="30" spans="1:20" x14ac:dyDescent="0.2">
      <c r="R30" s="262" t="s">
        <v>119</v>
      </c>
      <c r="S30" t="str">
        <v>B57</v>
      </c>
      <c r="T30" t="str">
        <f t="shared" si="0"/>
        <v>S15-2-B57</v>
      </c>
    </row>
    <row r="31" spans="1:20" x14ac:dyDescent="0.2">
      <c r="R31" s="262" t="s">
        <v>119</v>
      </c>
      <c r="S31" t="str">
        <v>PHG35</v>
      </c>
      <c r="T31" t="str">
        <f t="shared" si="0"/>
        <v>S15-2-PHG35</v>
      </c>
    </row>
    <row r="32" spans="1:20" ht="20" thickBot="1" x14ac:dyDescent="0.3">
      <c r="B32" s="106" t="s">
        <v>61</v>
      </c>
      <c r="C32" s="31">
        <v>1</v>
      </c>
      <c r="D32" s="31">
        <v>2</v>
      </c>
      <c r="E32" s="31">
        <v>3</v>
      </c>
      <c r="F32" s="31">
        <v>4</v>
      </c>
      <c r="G32" s="31">
        <v>5</v>
      </c>
      <c r="H32" s="31">
        <v>6</v>
      </c>
      <c r="I32" s="31">
        <v>7</v>
      </c>
      <c r="J32" s="31">
        <v>8</v>
      </c>
      <c r="K32" s="31">
        <v>9</v>
      </c>
      <c r="L32" s="31">
        <v>10</v>
      </c>
      <c r="M32" s="31">
        <v>11</v>
      </c>
      <c r="N32" s="31">
        <v>12</v>
      </c>
      <c r="R32" s="262" t="s">
        <v>119</v>
      </c>
      <c r="S32" t="str">
        <v>LH60</v>
      </c>
      <c r="T32" t="str">
        <f t="shared" si="0"/>
        <v>S15-2-LH60</v>
      </c>
    </row>
    <row r="33" spans="1:20" ht="16" thickTop="1" x14ac:dyDescent="0.2">
      <c r="A33" s="268" t="s">
        <v>133</v>
      </c>
      <c r="B33" s="30" t="s">
        <v>27</v>
      </c>
      <c r="C33" s="269" t="s">
        <v>15</v>
      </c>
      <c r="D33" s="270" t="s">
        <v>12</v>
      </c>
      <c r="E33" s="270" t="s">
        <v>14</v>
      </c>
      <c r="F33" s="271" t="s">
        <v>20</v>
      </c>
      <c r="G33" s="270" t="s">
        <v>19</v>
      </c>
      <c r="H33" s="270" t="s">
        <v>17</v>
      </c>
      <c r="I33" s="270" t="s">
        <v>16</v>
      </c>
      <c r="J33" s="270" t="s">
        <v>18</v>
      </c>
      <c r="K33" s="270" t="s">
        <v>13</v>
      </c>
      <c r="L33" s="270">
        <v>764</v>
      </c>
      <c r="M33" s="279" t="s">
        <v>13</v>
      </c>
      <c r="N33" s="280" t="s">
        <v>18</v>
      </c>
      <c r="R33" s="262" t="s">
        <v>119</v>
      </c>
      <c r="S33" t="str">
        <v>PHG39</v>
      </c>
      <c r="T33" t="str">
        <f t="shared" si="0"/>
        <v>S15-2-PHG39</v>
      </c>
    </row>
    <row r="34" spans="1:20" x14ac:dyDescent="0.2">
      <c r="A34" s="192" t="s">
        <v>134</v>
      </c>
      <c r="B34" s="30" t="s">
        <v>38</v>
      </c>
      <c r="C34" s="196" t="s">
        <v>19</v>
      </c>
      <c r="D34" s="197" t="s">
        <v>14</v>
      </c>
      <c r="E34" s="197" t="s">
        <v>18</v>
      </c>
      <c r="F34" s="197" t="s">
        <v>17</v>
      </c>
      <c r="G34" s="197" t="s">
        <v>15</v>
      </c>
      <c r="H34" s="198" t="s">
        <v>20</v>
      </c>
      <c r="I34" s="197" t="s">
        <v>16</v>
      </c>
      <c r="J34" s="197">
        <v>764</v>
      </c>
      <c r="K34" s="197" t="s">
        <v>12</v>
      </c>
      <c r="L34" s="197" t="s">
        <v>13</v>
      </c>
      <c r="M34" s="281" t="s">
        <v>12</v>
      </c>
      <c r="N34" s="282" t="s">
        <v>20</v>
      </c>
      <c r="R34" s="262" t="s">
        <v>119</v>
      </c>
      <c r="S34" t="str">
        <v>HP301</v>
      </c>
      <c r="T34" t="str">
        <f t="shared" si="0"/>
        <v>S15-2-HP301</v>
      </c>
    </row>
    <row r="35" spans="1:20" x14ac:dyDescent="0.2">
      <c r="A35" s="289" t="s">
        <v>135</v>
      </c>
      <c r="B35" s="30" t="s">
        <v>40</v>
      </c>
      <c r="C35" s="290" t="s">
        <v>14</v>
      </c>
      <c r="D35" s="291" t="s">
        <v>18</v>
      </c>
      <c r="E35" s="291">
        <v>764</v>
      </c>
      <c r="F35" s="291" t="s">
        <v>12</v>
      </c>
      <c r="G35" s="291" t="s">
        <v>16</v>
      </c>
      <c r="H35" s="292" t="s">
        <v>20</v>
      </c>
      <c r="I35" s="291" t="s">
        <v>17</v>
      </c>
      <c r="J35" s="291" t="s">
        <v>15</v>
      </c>
      <c r="K35" s="291" t="s">
        <v>13</v>
      </c>
      <c r="L35" s="291" t="s">
        <v>19</v>
      </c>
      <c r="M35" s="281">
        <v>764</v>
      </c>
      <c r="N35" s="282" t="s">
        <v>19</v>
      </c>
      <c r="O35" s="275" t="s">
        <v>154</v>
      </c>
      <c r="R35" s="231" t="s">
        <v>149</v>
      </c>
      <c r="S35" t="str" cm="1">
        <f t="array" ref="S35:S36">TRANSPOSE(M4:N4)</f>
        <v>B57</v>
      </c>
      <c r="T35" t="str">
        <f t="shared" si="0"/>
        <v>S6-2-B57</v>
      </c>
    </row>
    <row r="36" spans="1:20" x14ac:dyDescent="0.2">
      <c r="A36" s="204" t="s">
        <v>136</v>
      </c>
      <c r="B36" s="30" t="s">
        <v>42</v>
      </c>
      <c r="C36" s="205" t="s">
        <v>19</v>
      </c>
      <c r="D36" s="206" t="s">
        <v>14</v>
      </c>
      <c r="E36" s="206" t="s">
        <v>13</v>
      </c>
      <c r="F36" s="206" t="s">
        <v>12</v>
      </c>
      <c r="G36" s="206" t="s">
        <v>15</v>
      </c>
      <c r="H36" s="207" t="s">
        <v>20</v>
      </c>
      <c r="I36" s="206">
        <v>764</v>
      </c>
      <c r="J36" s="206" t="s">
        <v>16</v>
      </c>
      <c r="K36" s="206" t="s">
        <v>18</v>
      </c>
      <c r="L36" s="206" t="s">
        <v>17</v>
      </c>
      <c r="M36" s="281" t="s">
        <v>15</v>
      </c>
      <c r="N36" s="282" t="s">
        <v>17</v>
      </c>
      <c r="R36" s="231" t="s">
        <v>149</v>
      </c>
      <c r="S36" t="str">
        <v>PHG35</v>
      </c>
      <c r="T36" t="str">
        <f t="shared" si="0"/>
        <v>S6-2-PHG35</v>
      </c>
    </row>
    <row r="37" spans="1:20" ht="16" thickBot="1" x14ac:dyDescent="0.25">
      <c r="A37" s="243" t="s">
        <v>137</v>
      </c>
      <c r="B37" s="30" t="s">
        <v>44</v>
      </c>
      <c r="C37" s="257" t="s">
        <v>12</v>
      </c>
      <c r="D37" s="258" t="s">
        <v>14</v>
      </c>
      <c r="E37" s="258">
        <v>764</v>
      </c>
      <c r="F37" s="258" t="s">
        <v>16</v>
      </c>
      <c r="G37" s="258" t="s">
        <v>18</v>
      </c>
      <c r="H37" s="258" t="s">
        <v>19</v>
      </c>
      <c r="I37" s="258" t="s">
        <v>15</v>
      </c>
      <c r="J37" s="259" t="s">
        <v>20</v>
      </c>
      <c r="K37" s="258" t="s">
        <v>13</v>
      </c>
      <c r="L37" s="258" t="s">
        <v>17</v>
      </c>
      <c r="M37" s="283" t="s">
        <v>16</v>
      </c>
      <c r="N37" s="284" t="s">
        <v>14</v>
      </c>
      <c r="R37" s="177" t="s">
        <v>120</v>
      </c>
      <c r="S37" cm="1">
        <f t="array" ref="S37:S46">TRANSPOSE(C5:L5)</f>
        <v>764</v>
      </c>
      <c r="T37" t="str">
        <f t="shared" si="0"/>
        <v>S9-1-764</v>
      </c>
    </row>
    <row r="38" spans="1:20" ht="16" thickTop="1" x14ac:dyDescent="0.2">
      <c r="A38" s="201" t="s">
        <v>138</v>
      </c>
      <c r="B38" s="30" t="s">
        <v>46</v>
      </c>
      <c r="C38" s="202" t="s">
        <v>12</v>
      </c>
      <c r="D38" s="200" t="s">
        <v>16</v>
      </c>
      <c r="E38" s="200" t="s">
        <v>18</v>
      </c>
      <c r="F38" s="200" t="s">
        <v>17</v>
      </c>
      <c r="G38" s="200">
        <v>764</v>
      </c>
      <c r="H38" s="200" t="s">
        <v>19</v>
      </c>
      <c r="I38" s="200" t="s">
        <v>14</v>
      </c>
      <c r="J38" s="200" t="s">
        <v>13</v>
      </c>
      <c r="K38" s="203" t="s">
        <v>20</v>
      </c>
      <c r="L38" s="200" t="s">
        <v>15</v>
      </c>
      <c r="M38" s="285" t="s">
        <v>48</v>
      </c>
      <c r="N38" s="245" t="s">
        <v>17</v>
      </c>
      <c r="R38" s="177" t="s">
        <v>120</v>
      </c>
      <c r="S38" t="str">
        <v>B57</v>
      </c>
      <c r="T38" t="str">
        <f t="shared" si="0"/>
        <v>S9-1-B57</v>
      </c>
    </row>
    <row r="39" spans="1:20" x14ac:dyDescent="0.2">
      <c r="A39" s="183" t="s">
        <v>139</v>
      </c>
      <c r="B39" s="30" t="s">
        <v>50</v>
      </c>
      <c r="C39" s="181">
        <v>764</v>
      </c>
      <c r="D39" s="182" t="s">
        <v>18</v>
      </c>
      <c r="E39" s="182" t="s">
        <v>13</v>
      </c>
      <c r="F39" s="182" t="s">
        <v>17</v>
      </c>
      <c r="G39" s="184" t="s">
        <v>20</v>
      </c>
      <c r="H39" s="182" t="s">
        <v>14</v>
      </c>
      <c r="I39" s="182" t="s">
        <v>12</v>
      </c>
      <c r="J39" s="182" t="s">
        <v>15</v>
      </c>
      <c r="K39" s="182" t="s">
        <v>16</v>
      </c>
      <c r="L39" s="182" t="s">
        <v>19</v>
      </c>
      <c r="M39" s="244" t="s">
        <v>12</v>
      </c>
      <c r="N39" s="245" t="s">
        <v>18</v>
      </c>
      <c r="O39" s="243" t="s">
        <v>150</v>
      </c>
      <c r="R39" s="177" t="s">
        <v>120</v>
      </c>
      <c r="S39" t="str">
        <v>A554</v>
      </c>
      <c r="T39" t="str">
        <f t="shared" si="0"/>
        <v>S9-1-A554</v>
      </c>
    </row>
    <row r="40" spans="1:20" ht="16" thickBot="1" x14ac:dyDescent="0.25">
      <c r="A40" s="238" t="s">
        <v>140</v>
      </c>
      <c r="B40" s="30" t="s">
        <v>52</v>
      </c>
      <c r="C40" s="239" t="s">
        <v>18</v>
      </c>
      <c r="D40" s="240" t="s">
        <v>12</v>
      </c>
      <c r="E40" s="240" t="s">
        <v>13</v>
      </c>
      <c r="F40" s="240" t="s">
        <v>14</v>
      </c>
      <c r="G40" s="240" t="s">
        <v>15</v>
      </c>
      <c r="H40" s="241" t="s">
        <v>20</v>
      </c>
      <c r="I40" s="240">
        <v>764</v>
      </c>
      <c r="J40" s="240" t="s">
        <v>17</v>
      </c>
      <c r="K40" s="240" t="s">
        <v>19</v>
      </c>
      <c r="L40" s="240" t="s">
        <v>16</v>
      </c>
      <c r="M40" s="246">
        <v>764</v>
      </c>
      <c r="N40" s="287" t="s">
        <v>47</v>
      </c>
      <c r="R40" s="177" t="s">
        <v>120</v>
      </c>
      <c r="S40" t="str">
        <v>HP301</v>
      </c>
      <c r="T40" t="str">
        <f t="shared" si="0"/>
        <v>S9-1-HP301</v>
      </c>
    </row>
    <row r="41" spans="1:20" x14ac:dyDescent="0.2">
      <c r="R41" s="177" t="s">
        <v>120</v>
      </c>
      <c r="S41" t="str">
        <v>NC262</v>
      </c>
      <c r="T41" t="str">
        <f t="shared" si="0"/>
        <v>S9-1-NC262</v>
      </c>
    </row>
    <row r="42" spans="1:20" x14ac:dyDescent="0.2">
      <c r="R42" s="177" t="s">
        <v>120</v>
      </c>
      <c r="S42" t="str">
        <v>FBB0</v>
      </c>
      <c r="T42" t="str">
        <f t="shared" si="0"/>
        <v>S9-1-FBB0</v>
      </c>
    </row>
    <row r="43" spans="1:20" x14ac:dyDescent="0.2">
      <c r="R43" s="177" t="s">
        <v>120</v>
      </c>
      <c r="S43" t="str">
        <v>PHG39</v>
      </c>
      <c r="T43" t="str">
        <f t="shared" si="0"/>
        <v>S9-1-PHG39</v>
      </c>
    </row>
    <row r="44" spans="1:20" x14ac:dyDescent="0.2">
      <c r="R44" s="177" t="s">
        <v>120</v>
      </c>
      <c r="S44" t="str">
        <v>PHG47</v>
      </c>
      <c r="T44" t="str">
        <f t="shared" si="0"/>
        <v>S9-1-PHG47</v>
      </c>
    </row>
    <row r="45" spans="1:20" ht="20" thickBot="1" x14ac:dyDescent="0.3">
      <c r="B45" s="106" t="s">
        <v>62</v>
      </c>
      <c r="C45" s="31">
        <v>1</v>
      </c>
      <c r="D45" s="31">
        <v>2</v>
      </c>
      <c r="E45" s="31">
        <v>3</v>
      </c>
      <c r="F45" s="31">
        <v>4</v>
      </c>
      <c r="G45" s="31">
        <v>5</v>
      </c>
      <c r="H45" s="31">
        <v>6</v>
      </c>
      <c r="I45" s="31">
        <v>7</v>
      </c>
      <c r="J45" s="31">
        <v>8</v>
      </c>
      <c r="K45" s="31">
        <v>9</v>
      </c>
      <c r="L45" s="31">
        <v>10</v>
      </c>
      <c r="M45" s="31">
        <v>11</v>
      </c>
      <c r="N45" s="31">
        <v>12</v>
      </c>
      <c r="R45" s="177" t="s">
        <v>120</v>
      </c>
      <c r="S45" t="str">
        <v>LH60</v>
      </c>
      <c r="T45" t="str">
        <f t="shared" si="0"/>
        <v>S9-1-LH60</v>
      </c>
    </row>
    <row r="46" spans="1:20" ht="16" thickTop="1" x14ac:dyDescent="0.2">
      <c r="A46" s="213" t="s">
        <v>141</v>
      </c>
      <c r="B46" s="30" t="s">
        <v>27</v>
      </c>
      <c r="C46" s="217" t="s">
        <v>15</v>
      </c>
      <c r="D46" s="218" t="s">
        <v>17</v>
      </c>
      <c r="E46" s="218" t="s">
        <v>13</v>
      </c>
      <c r="F46" s="219" t="s">
        <v>20</v>
      </c>
      <c r="G46" s="218" t="s">
        <v>16</v>
      </c>
      <c r="H46" s="218">
        <v>764</v>
      </c>
      <c r="I46" s="218" t="s">
        <v>18</v>
      </c>
      <c r="J46" s="218" t="s">
        <v>19</v>
      </c>
      <c r="K46" s="218" t="s">
        <v>14</v>
      </c>
      <c r="L46" s="218" t="s">
        <v>12</v>
      </c>
      <c r="M46" s="232" t="s">
        <v>16</v>
      </c>
      <c r="N46" s="233">
        <v>764</v>
      </c>
      <c r="R46" s="177" t="s">
        <v>120</v>
      </c>
      <c r="S46" t="str">
        <v>PHG35</v>
      </c>
      <c r="T46" t="str">
        <f t="shared" si="0"/>
        <v>S9-1-PHG35</v>
      </c>
    </row>
    <row r="47" spans="1:20" x14ac:dyDescent="0.2">
      <c r="A47" s="188" t="s">
        <v>142</v>
      </c>
      <c r="B47" s="30" t="s">
        <v>38</v>
      </c>
      <c r="C47" s="186" t="s">
        <v>13</v>
      </c>
      <c r="D47" s="187" t="s">
        <v>16</v>
      </c>
      <c r="E47" s="187" t="s">
        <v>14</v>
      </c>
      <c r="F47" s="187" t="s">
        <v>18</v>
      </c>
      <c r="G47" s="187">
        <v>764</v>
      </c>
      <c r="H47" s="187" t="s">
        <v>12</v>
      </c>
      <c r="I47" s="187" t="s">
        <v>17</v>
      </c>
      <c r="J47" s="189" t="s">
        <v>20</v>
      </c>
      <c r="K47" s="187" t="s">
        <v>15</v>
      </c>
      <c r="L47" s="187" t="s">
        <v>19</v>
      </c>
      <c r="M47" s="234" t="s">
        <v>18</v>
      </c>
      <c r="N47" s="235" t="s">
        <v>13</v>
      </c>
      <c r="R47" s="231" t="s">
        <v>149</v>
      </c>
      <c r="S47" t="str" cm="1">
        <f t="array" ref="S47:S48">TRANSPOSE(M5:N5)</f>
        <v>HP301</v>
      </c>
      <c r="T47" t="str">
        <f t="shared" si="0"/>
        <v>S6-2-HP301</v>
      </c>
    </row>
    <row r="48" spans="1:20" x14ac:dyDescent="0.2">
      <c r="A48" s="247" t="s">
        <v>143</v>
      </c>
      <c r="B48" s="30" t="s">
        <v>40</v>
      </c>
      <c r="C48" s="254" t="s">
        <v>16</v>
      </c>
      <c r="D48" s="255">
        <v>764</v>
      </c>
      <c r="E48" s="255" t="s">
        <v>19</v>
      </c>
      <c r="F48" s="255" t="s">
        <v>17</v>
      </c>
      <c r="G48" s="255" t="s">
        <v>12</v>
      </c>
      <c r="H48" s="255" t="s">
        <v>18</v>
      </c>
      <c r="I48" s="256" t="s">
        <v>20</v>
      </c>
      <c r="J48" s="255" t="s">
        <v>13</v>
      </c>
      <c r="K48" s="255" t="s">
        <v>14</v>
      </c>
      <c r="L48" s="255" t="s">
        <v>15</v>
      </c>
      <c r="M48" s="234" t="s">
        <v>14</v>
      </c>
      <c r="N48" s="235" t="s">
        <v>20</v>
      </c>
      <c r="O48" s="238" t="s">
        <v>153</v>
      </c>
      <c r="R48" s="231" t="s">
        <v>149</v>
      </c>
      <c r="S48" t="str">
        <v>PHG39</v>
      </c>
      <c r="T48" t="str">
        <f t="shared" si="0"/>
        <v>S6-2-PHG39</v>
      </c>
    </row>
    <row r="49" spans="1:20" x14ac:dyDescent="0.2">
      <c r="A49" s="231" t="s">
        <v>144</v>
      </c>
      <c r="B49" s="30" t="s">
        <v>42</v>
      </c>
      <c r="C49" s="263">
        <v>764</v>
      </c>
      <c r="D49" s="264" t="s">
        <v>15</v>
      </c>
      <c r="E49" s="264" t="s">
        <v>13</v>
      </c>
      <c r="F49" s="264" t="s">
        <v>19</v>
      </c>
      <c r="G49" s="264" t="s">
        <v>18</v>
      </c>
      <c r="H49" s="264" t="s">
        <v>16</v>
      </c>
      <c r="I49" s="264" t="s">
        <v>14</v>
      </c>
      <c r="J49" s="264" t="s">
        <v>17</v>
      </c>
      <c r="K49" s="265" t="s">
        <v>20</v>
      </c>
      <c r="L49" s="264" t="s">
        <v>12</v>
      </c>
      <c r="M49" s="234" t="s">
        <v>19</v>
      </c>
      <c r="N49" s="235" t="s">
        <v>17</v>
      </c>
      <c r="R49" s="176" t="s">
        <v>121</v>
      </c>
      <c r="S49" t="str" cm="1">
        <f t="array" ref="S49:S58">TRANSPOSE(C6:L6)</f>
        <v>PHG39</v>
      </c>
      <c r="T49" t="str">
        <f t="shared" si="0"/>
        <v>S2-1-PHG39</v>
      </c>
    </row>
    <row r="50" spans="1:20" ht="16" thickBot="1" x14ac:dyDescent="0.25">
      <c r="A50" s="260" t="s">
        <v>145</v>
      </c>
      <c r="B50" s="30" t="s">
        <v>44</v>
      </c>
      <c r="C50" s="164" t="s">
        <v>14</v>
      </c>
      <c r="D50" s="165" t="s">
        <v>13</v>
      </c>
      <c r="E50" s="165" t="s">
        <v>12</v>
      </c>
      <c r="F50" s="165" t="s">
        <v>16</v>
      </c>
      <c r="G50" s="261" t="s">
        <v>20</v>
      </c>
      <c r="H50" s="165" t="s">
        <v>17</v>
      </c>
      <c r="I50" s="165" t="s">
        <v>15</v>
      </c>
      <c r="J50" s="165" t="s">
        <v>19</v>
      </c>
      <c r="K50" s="165">
        <v>764</v>
      </c>
      <c r="L50" s="165" t="s">
        <v>18</v>
      </c>
      <c r="M50" s="236" t="s">
        <v>15</v>
      </c>
      <c r="N50" s="237" t="s">
        <v>12</v>
      </c>
      <c r="R50" s="176" t="s">
        <v>121</v>
      </c>
      <c r="S50" t="str">
        <v>NC262</v>
      </c>
      <c r="T50" t="str">
        <f t="shared" si="0"/>
        <v>S2-1-NC262</v>
      </c>
    </row>
    <row r="51" spans="1:20" ht="16" thickTop="1" x14ac:dyDescent="0.2">
      <c r="A51" s="268" t="s">
        <v>146</v>
      </c>
      <c r="B51" s="30" t="s">
        <v>46</v>
      </c>
      <c r="C51" s="272" t="s">
        <v>17</v>
      </c>
      <c r="D51" s="273" t="s">
        <v>18</v>
      </c>
      <c r="E51" s="274" t="s">
        <v>20</v>
      </c>
      <c r="F51" s="273" t="s">
        <v>14</v>
      </c>
      <c r="G51" s="273" t="s">
        <v>19</v>
      </c>
      <c r="H51" s="273">
        <v>764</v>
      </c>
      <c r="I51" s="273" t="s">
        <v>13</v>
      </c>
      <c r="J51" s="273" t="s">
        <v>12</v>
      </c>
      <c r="K51" s="273" t="s">
        <v>15</v>
      </c>
      <c r="L51" s="273" t="s">
        <v>16</v>
      </c>
      <c r="M51" s="285" t="s">
        <v>48</v>
      </c>
      <c r="N51" s="221" t="s">
        <v>20</v>
      </c>
      <c r="R51" s="176" t="s">
        <v>121</v>
      </c>
      <c r="S51" t="str">
        <v>LH60</v>
      </c>
      <c r="T51" t="str">
        <f t="shared" si="0"/>
        <v>S2-1-LH60</v>
      </c>
    </row>
    <row r="52" spans="1:20" x14ac:dyDescent="0.2">
      <c r="A52" s="275" t="s">
        <v>147</v>
      </c>
      <c r="B52" s="30" t="s">
        <v>50</v>
      </c>
      <c r="C52" s="276">
        <v>764</v>
      </c>
      <c r="D52" s="277" t="s">
        <v>17</v>
      </c>
      <c r="E52" s="277" t="s">
        <v>15</v>
      </c>
      <c r="F52" s="277" t="s">
        <v>18</v>
      </c>
      <c r="G52" s="277" t="s">
        <v>16</v>
      </c>
      <c r="H52" s="278" t="s">
        <v>20</v>
      </c>
      <c r="I52" s="277" t="s">
        <v>13</v>
      </c>
      <c r="J52" s="277" t="s">
        <v>14</v>
      </c>
      <c r="K52" s="277" t="s">
        <v>12</v>
      </c>
      <c r="L52" s="277" t="s">
        <v>19</v>
      </c>
      <c r="M52" s="220" t="s">
        <v>18</v>
      </c>
      <c r="N52" s="221" t="s">
        <v>19</v>
      </c>
      <c r="O52" s="224" t="s">
        <v>152</v>
      </c>
      <c r="R52" s="176" t="s">
        <v>121</v>
      </c>
      <c r="S52" t="str">
        <v>PHG47</v>
      </c>
      <c r="T52" t="str">
        <f t="shared" si="0"/>
        <v>S2-1-PHG47</v>
      </c>
    </row>
    <row r="53" spans="1:20" ht="16" thickBot="1" x14ac:dyDescent="0.25">
      <c r="A53" s="208" t="s">
        <v>148</v>
      </c>
      <c r="B53" s="30" t="s">
        <v>52</v>
      </c>
      <c r="C53" s="211" t="s">
        <v>17</v>
      </c>
      <c r="D53" s="168" t="s">
        <v>15</v>
      </c>
      <c r="E53" s="168" t="s">
        <v>16</v>
      </c>
      <c r="F53" s="168" t="s">
        <v>13</v>
      </c>
      <c r="G53" s="168" t="s">
        <v>14</v>
      </c>
      <c r="H53" s="168" t="s">
        <v>19</v>
      </c>
      <c r="I53" s="168">
        <v>764</v>
      </c>
      <c r="J53" s="168" t="s">
        <v>18</v>
      </c>
      <c r="K53" s="168" t="s">
        <v>12</v>
      </c>
      <c r="L53" s="212" t="s">
        <v>20</v>
      </c>
      <c r="M53" s="286" t="s">
        <v>47</v>
      </c>
      <c r="N53" s="223" t="s">
        <v>14</v>
      </c>
      <c r="R53" s="176" t="s">
        <v>121</v>
      </c>
      <c r="S53" t="str">
        <v>FBB0</v>
      </c>
      <c r="T53" t="str">
        <f t="shared" si="0"/>
        <v>S2-1-FBB0</v>
      </c>
    </row>
    <row r="54" spans="1:20" x14ac:dyDescent="0.2">
      <c r="R54" s="176" t="s">
        <v>121</v>
      </c>
      <c r="S54" t="str">
        <v>HP301</v>
      </c>
      <c r="T54" t="str">
        <f t="shared" si="0"/>
        <v>S2-1-HP301</v>
      </c>
    </row>
    <row r="55" spans="1:20" x14ac:dyDescent="0.2">
      <c r="R55" s="176" t="s">
        <v>121</v>
      </c>
      <c r="S55">
        <v>764</v>
      </c>
      <c r="T55" t="str">
        <f t="shared" si="0"/>
        <v>S2-1-764</v>
      </c>
    </row>
    <row r="56" spans="1:20" x14ac:dyDescent="0.2">
      <c r="R56" s="176" t="s">
        <v>121</v>
      </c>
      <c r="S56" t="str">
        <v>B57</v>
      </c>
      <c r="T56" t="str">
        <f t="shared" si="0"/>
        <v>S2-1-B57</v>
      </c>
    </row>
    <row r="57" spans="1:20" x14ac:dyDescent="0.2">
      <c r="C57" s="238" t="s">
        <v>104</v>
      </c>
      <c r="D57" s="243" t="s">
        <v>101</v>
      </c>
      <c r="R57" s="176" t="s">
        <v>121</v>
      </c>
      <c r="S57" t="str">
        <v>A554</v>
      </c>
      <c r="T57" t="str">
        <f t="shared" si="0"/>
        <v>S2-1-A554</v>
      </c>
    </row>
    <row r="58" spans="1:20" x14ac:dyDescent="0.2">
      <c r="C58" s="170" t="s">
        <v>105</v>
      </c>
      <c r="D58" s="192" t="s">
        <v>106</v>
      </c>
      <c r="R58" s="176" t="s">
        <v>121</v>
      </c>
      <c r="S58" t="str">
        <v>PHG35</v>
      </c>
      <c r="T58" t="str">
        <f t="shared" si="0"/>
        <v>S2-1-PHG35</v>
      </c>
    </row>
    <row r="59" spans="1:20" x14ac:dyDescent="0.2">
      <c r="C59" s="171" t="s">
        <v>107</v>
      </c>
      <c r="D59" s="201" t="s">
        <v>108</v>
      </c>
      <c r="R59" s="231" t="s">
        <v>149</v>
      </c>
      <c r="S59" t="str" cm="1">
        <f t="array" ref="S59:S60">TRANSPOSE(M6:N6)</f>
        <v>NC262</v>
      </c>
      <c r="T59" t="str">
        <f t="shared" si="0"/>
        <v>S6-2-NC262</v>
      </c>
    </row>
    <row r="60" spans="1:20" x14ac:dyDescent="0.2">
      <c r="C60" s="262" t="s">
        <v>102</v>
      </c>
      <c r="D60" s="204" t="s">
        <v>109</v>
      </c>
      <c r="R60" s="231" t="s">
        <v>149</v>
      </c>
      <c r="S60" t="str">
        <v>PHG47</v>
      </c>
      <c r="T60" t="str">
        <f t="shared" si="0"/>
        <v>S6-2-PHG47</v>
      </c>
    </row>
    <row r="61" spans="1:20" x14ac:dyDescent="0.2">
      <c r="C61" s="177" t="s">
        <v>110</v>
      </c>
      <c r="D61" s="208" t="s">
        <v>111</v>
      </c>
      <c r="R61" s="180" t="s">
        <v>122</v>
      </c>
      <c r="S61" t="str" cm="1">
        <f t="array" ref="S61:S70">TRANSPOSE(C7:L7)</f>
        <v>PHG47</v>
      </c>
      <c r="T61" t="str">
        <f t="shared" si="0"/>
        <v>S18-1-PHG47</v>
      </c>
    </row>
    <row r="62" spans="1:20" x14ac:dyDescent="0.2">
      <c r="C62" s="176" t="s">
        <v>112</v>
      </c>
      <c r="D62" s="289" t="s">
        <v>113</v>
      </c>
      <c r="R62" s="180" t="s">
        <v>122</v>
      </c>
      <c r="S62" t="str">
        <v>PHG35</v>
      </c>
      <c r="T62" t="str">
        <f t="shared" si="0"/>
        <v>S18-1-PHG35</v>
      </c>
    </row>
    <row r="63" spans="1:20" x14ac:dyDescent="0.2">
      <c r="C63" s="180" t="s">
        <v>114</v>
      </c>
      <c r="D63" s="178" t="s">
        <v>110</v>
      </c>
      <c r="R63" s="180" t="s">
        <v>122</v>
      </c>
      <c r="S63" t="str">
        <v>B57</v>
      </c>
      <c r="T63" t="str">
        <f t="shared" si="0"/>
        <v>S18-1-B57</v>
      </c>
    </row>
    <row r="64" spans="1:20" x14ac:dyDescent="0.2">
      <c r="C64" s="185" t="s">
        <v>115</v>
      </c>
      <c r="D64" s="172" t="s">
        <v>107</v>
      </c>
      <c r="R64" s="180" t="s">
        <v>122</v>
      </c>
      <c r="S64" t="str">
        <v>HP301</v>
      </c>
      <c r="T64" t="str">
        <f t="shared" si="0"/>
        <v>S18-1-HP301</v>
      </c>
    </row>
    <row r="65" spans="3:20" x14ac:dyDescent="0.2">
      <c r="C65" s="170" t="s">
        <v>105</v>
      </c>
      <c r="D65" s="213" t="s">
        <v>116</v>
      </c>
      <c r="R65" s="180" t="s">
        <v>122</v>
      </c>
      <c r="S65" t="str">
        <v>FBB0</v>
      </c>
      <c r="T65" t="str">
        <f t="shared" si="0"/>
        <v>S18-1-FBB0</v>
      </c>
    </row>
    <row r="66" spans="3:20" x14ac:dyDescent="0.2">
      <c r="C66" s="275" t="s">
        <v>103</v>
      </c>
      <c r="R66" s="180" t="s">
        <v>122</v>
      </c>
      <c r="S66">
        <v>764</v>
      </c>
      <c r="T66" t="str">
        <f t="shared" ref="T66:T94" si="1">_xlfn.CONCAT(R66,"-",S66)</f>
        <v>S18-1-764</v>
      </c>
    </row>
    <row r="67" spans="3:20" x14ac:dyDescent="0.2">
      <c r="R67" s="180" t="s">
        <v>122</v>
      </c>
      <c r="S67" t="str">
        <v>NC262</v>
      </c>
      <c r="T67" t="str">
        <f t="shared" si="1"/>
        <v>S18-1-NC262</v>
      </c>
    </row>
    <row r="68" spans="3:20" x14ac:dyDescent="0.2">
      <c r="R68" s="180" t="s">
        <v>122</v>
      </c>
      <c r="S68" t="str">
        <v>LH60</v>
      </c>
      <c r="T68" t="str">
        <f t="shared" si="1"/>
        <v>S18-1-LH60</v>
      </c>
    </row>
    <row r="69" spans="3:20" x14ac:dyDescent="0.2">
      <c r="R69" s="180" t="s">
        <v>122</v>
      </c>
      <c r="S69" t="str">
        <v>A554</v>
      </c>
      <c r="T69" t="str">
        <f t="shared" si="1"/>
        <v>S18-1-A554</v>
      </c>
    </row>
    <row r="70" spans="3:20" x14ac:dyDescent="0.2">
      <c r="R70" s="180" t="s">
        <v>122</v>
      </c>
      <c r="S70" t="str">
        <v>PHG39</v>
      </c>
      <c r="T70" t="str">
        <f t="shared" si="1"/>
        <v>S18-1-PHG39</v>
      </c>
    </row>
    <row r="71" spans="3:20" x14ac:dyDescent="0.2">
      <c r="R71" s="243" t="s">
        <v>150</v>
      </c>
      <c r="S71" t="str" cm="1">
        <f t="array" ref="S71">TRANSPOSE(N7)</f>
        <v>A554</v>
      </c>
      <c r="T71" t="str">
        <f t="shared" si="1"/>
        <v>S20-1-A554</v>
      </c>
    </row>
    <row r="72" spans="3:20" x14ac:dyDescent="0.2">
      <c r="R72" s="185" t="s">
        <v>123</v>
      </c>
      <c r="S72" cm="1">
        <f t="array" ref="S72:S81">TRANSPOSE(C8:L8)</f>
        <v>764</v>
      </c>
      <c r="T72" t="str">
        <f t="shared" si="1"/>
        <v>S19-2-764</v>
      </c>
    </row>
    <row r="73" spans="3:20" x14ac:dyDescent="0.2">
      <c r="R73" s="185" t="s">
        <v>123</v>
      </c>
      <c r="S73" t="str">
        <v>LH60</v>
      </c>
      <c r="T73" t="str">
        <f t="shared" si="1"/>
        <v>S19-2-LH60</v>
      </c>
    </row>
    <row r="74" spans="3:20" x14ac:dyDescent="0.2">
      <c r="R74" s="185" t="s">
        <v>123</v>
      </c>
      <c r="S74" t="str">
        <v>PHG47</v>
      </c>
      <c r="T74" t="str">
        <f t="shared" si="1"/>
        <v>S19-2-PHG47</v>
      </c>
    </row>
    <row r="75" spans="3:20" x14ac:dyDescent="0.2">
      <c r="R75" s="185" t="s">
        <v>123</v>
      </c>
      <c r="S75" t="str">
        <v>HP301</v>
      </c>
      <c r="T75" t="str">
        <f t="shared" si="1"/>
        <v>S19-2-HP301</v>
      </c>
    </row>
    <row r="76" spans="3:20" x14ac:dyDescent="0.2">
      <c r="R76" s="185" t="s">
        <v>123</v>
      </c>
      <c r="S76" t="str">
        <v>PHG35</v>
      </c>
      <c r="T76" t="str">
        <f t="shared" si="1"/>
        <v>S19-2-PHG35</v>
      </c>
    </row>
    <row r="77" spans="3:20" x14ac:dyDescent="0.2">
      <c r="R77" s="185" t="s">
        <v>123</v>
      </c>
      <c r="S77" t="str">
        <v>B57</v>
      </c>
      <c r="T77" t="str">
        <f t="shared" si="1"/>
        <v>S19-2-B57</v>
      </c>
    </row>
    <row r="78" spans="3:20" x14ac:dyDescent="0.2">
      <c r="R78" s="185" t="s">
        <v>123</v>
      </c>
      <c r="S78" t="str">
        <v>PHG39</v>
      </c>
      <c r="T78" t="str">
        <f t="shared" si="1"/>
        <v>S19-2-PHG39</v>
      </c>
    </row>
    <row r="79" spans="3:20" x14ac:dyDescent="0.2">
      <c r="R79" s="185" t="s">
        <v>123</v>
      </c>
      <c r="S79" t="str">
        <v>NC262</v>
      </c>
      <c r="T79" t="str">
        <f t="shared" si="1"/>
        <v>S19-2-NC262</v>
      </c>
    </row>
    <row r="80" spans="3:20" x14ac:dyDescent="0.2">
      <c r="R80" s="185" t="s">
        <v>123</v>
      </c>
      <c r="S80" t="str">
        <v>FBB0</v>
      </c>
      <c r="T80" t="str">
        <f t="shared" si="1"/>
        <v>S19-2-FBB0</v>
      </c>
    </row>
    <row r="81" spans="18:20" x14ac:dyDescent="0.2">
      <c r="R81" s="185" t="s">
        <v>123</v>
      </c>
      <c r="S81" t="str">
        <v>A554</v>
      </c>
      <c r="T81" t="str">
        <f t="shared" si="1"/>
        <v>S19-2-A554</v>
      </c>
    </row>
    <row r="82" spans="18:20" x14ac:dyDescent="0.2">
      <c r="R82" s="243" t="s">
        <v>150</v>
      </c>
      <c r="S82" t="str" cm="1">
        <f t="array" ref="S82">TRANSPOSE(M8)</f>
        <v>HP301</v>
      </c>
      <c r="T82" t="str">
        <f t="shared" si="1"/>
        <v>S20-1-HP301</v>
      </c>
    </row>
    <row r="83" spans="18:20" x14ac:dyDescent="0.2">
      <c r="R83" s="170" t="s">
        <v>124</v>
      </c>
      <c r="S83" t="str" cm="1">
        <f t="array" ref="S83:S92">TRANSPOSE(C9:L9)</f>
        <v>A554</v>
      </c>
      <c r="T83" t="str">
        <f t="shared" si="1"/>
        <v>S12-1-A554</v>
      </c>
    </row>
    <row r="84" spans="18:20" x14ac:dyDescent="0.2">
      <c r="R84" s="170" t="s">
        <v>124</v>
      </c>
      <c r="S84" t="str">
        <v>NC262</v>
      </c>
      <c r="T84" t="str">
        <f t="shared" si="1"/>
        <v>S12-1-NC262</v>
      </c>
    </row>
    <row r="85" spans="18:20" x14ac:dyDescent="0.2">
      <c r="R85" s="170" t="s">
        <v>124</v>
      </c>
      <c r="S85" t="str">
        <v>PHG47</v>
      </c>
      <c r="T85" t="str">
        <f t="shared" si="1"/>
        <v>S12-1-PHG47</v>
      </c>
    </row>
    <row r="86" spans="18:20" x14ac:dyDescent="0.2">
      <c r="R86" s="170" t="s">
        <v>124</v>
      </c>
      <c r="S86" t="str">
        <v>HP301</v>
      </c>
      <c r="T86" t="str">
        <f t="shared" si="1"/>
        <v>S12-1-HP301</v>
      </c>
    </row>
    <row r="87" spans="18:20" x14ac:dyDescent="0.2">
      <c r="R87" s="170" t="s">
        <v>124</v>
      </c>
      <c r="S87">
        <v>764</v>
      </c>
      <c r="T87" t="str">
        <f t="shared" si="1"/>
        <v>S12-1-764</v>
      </c>
    </row>
    <row r="88" spans="18:20" x14ac:dyDescent="0.2">
      <c r="R88" s="170" t="s">
        <v>124</v>
      </c>
      <c r="S88" t="str">
        <v>PHG39</v>
      </c>
      <c r="T88" t="str">
        <f t="shared" si="1"/>
        <v>S12-1-PHG39</v>
      </c>
    </row>
    <row r="89" spans="18:20" x14ac:dyDescent="0.2">
      <c r="R89" s="170" t="s">
        <v>124</v>
      </c>
      <c r="S89" t="str">
        <v>B57</v>
      </c>
      <c r="T89" t="str">
        <f t="shared" si="1"/>
        <v>S12-1-B57</v>
      </c>
    </row>
    <row r="90" spans="18:20" x14ac:dyDescent="0.2">
      <c r="R90" s="170" t="s">
        <v>124</v>
      </c>
      <c r="S90" t="str">
        <v>FBB0</v>
      </c>
      <c r="T90" t="str">
        <f t="shared" si="1"/>
        <v>S12-1-FBB0</v>
      </c>
    </row>
    <row r="91" spans="18:20" x14ac:dyDescent="0.2">
      <c r="R91" s="170" t="s">
        <v>124</v>
      </c>
      <c r="S91" t="str">
        <v>PHG35</v>
      </c>
      <c r="T91" t="str">
        <f t="shared" si="1"/>
        <v>S12-1-PHG35</v>
      </c>
    </row>
    <row r="92" spans="18:20" x14ac:dyDescent="0.2">
      <c r="R92" s="170" t="s">
        <v>124</v>
      </c>
      <c r="S92" t="str">
        <v>LH60</v>
      </c>
      <c r="T92" t="str">
        <f t="shared" si="1"/>
        <v>S12-1-LH60</v>
      </c>
    </row>
    <row r="93" spans="18:20" x14ac:dyDescent="0.2">
      <c r="R93" s="243" t="s">
        <v>150</v>
      </c>
      <c r="S93" t="str" cm="1">
        <f t="array" ref="S93:S94">TRANSPOSE(M9:N9)</f>
        <v>FBB0</v>
      </c>
      <c r="T93" t="str">
        <f t="shared" si="1"/>
        <v>S20-1-FBB0</v>
      </c>
    </row>
    <row r="94" spans="18:20" x14ac:dyDescent="0.2">
      <c r="R94" s="243" t="s">
        <v>150</v>
      </c>
      <c r="S94" t="str">
        <v>B57</v>
      </c>
      <c r="T94" t="str">
        <f t="shared" si="1"/>
        <v>S20-1-B57</v>
      </c>
    </row>
  </sheetData>
  <phoneticPr fontId="1" type="noConversion"/>
  <pageMargins left="0.7" right="0.7" top="0.75" bottom="0.75" header="0.3" footer="0.3"/>
  <pageSetup scale="0" firstPageNumber="0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CC65-A793-924F-AF7B-FB83455EE3DD}">
  <dimension ref="A1:O66"/>
  <sheetViews>
    <sheetView workbookViewId="0">
      <selection sqref="A1:A1048576"/>
    </sheetView>
  </sheetViews>
  <sheetFormatPr baseColWidth="10" defaultColWidth="8.83203125" defaultRowHeight="15" x14ac:dyDescent="0.2"/>
  <sheetData>
    <row r="1" spans="1:15" ht="20" thickBot="1" x14ac:dyDescent="0.3">
      <c r="B1" s="107" t="s">
        <v>59</v>
      </c>
      <c r="C1" s="31">
        <v>1</v>
      </c>
      <c r="D1" s="31">
        <v>2</v>
      </c>
      <c r="E1" s="31">
        <v>3</v>
      </c>
      <c r="F1" s="31">
        <v>4</v>
      </c>
      <c r="G1" s="31">
        <v>5</v>
      </c>
      <c r="H1" s="31">
        <v>6</v>
      </c>
      <c r="I1" s="31">
        <v>7</v>
      </c>
      <c r="J1" s="31">
        <v>8</v>
      </c>
      <c r="K1" s="31">
        <v>9</v>
      </c>
      <c r="L1" s="31">
        <v>10</v>
      </c>
      <c r="M1" s="31">
        <v>11</v>
      </c>
      <c r="N1" s="31">
        <v>12</v>
      </c>
    </row>
    <row r="2" spans="1:15" ht="16" thickTop="1" x14ac:dyDescent="0.2">
      <c r="A2" s="170" t="s">
        <v>65</v>
      </c>
      <c r="B2" s="30" t="s">
        <v>27</v>
      </c>
      <c r="C2" s="160" t="s">
        <v>28</v>
      </c>
      <c r="D2" s="161" t="s">
        <v>29</v>
      </c>
      <c r="E2" s="161" t="s">
        <v>30</v>
      </c>
      <c r="F2" s="161" t="s">
        <v>31</v>
      </c>
      <c r="G2" s="161" t="s">
        <v>32</v>
      </c>
      <c r="H2" s="161" t="s">
        <v>33</v>
      </c>
      <c r="I2" s="161" t="s">
        <v>34</v>
      </c>
      <c r="J2" s="161" t="s">
        <v>35</v>
      </c>
      <c r="K2" s="161" t="s">
        <v>36</v>
      </c>
      <c r="L2" s="161" t="s">
        <v>25</v>
      </c>
      <c r="M2" s="225" t="s">
        <v>32</v>
      </c>
      <c r="N2" s="226" t="s">
        <v>36</v>
      </c>
    </row>
    <row r="3" spans="1:15" x14ac:dyDescent="0.2">
      <c r="A3" s="171" t="s">
        <v>67</v>
      </c>
      <c r="B3" s="30" t="s">
        <v>38</v>
      </c>
      <c r="C3" s="162" t="s">
        <v>30</v>
      </c>
      <c r="D3" s="163" t="s">
        <v>34</v>
      </c>
      <c r="E3" s="163" t="s">
        <v>25</v>
      </c>
      <c r="F3" s="163" t="s">
        <v>31</v>
      </c>
      <c r="G3" s="163" t="s">
        <v>32</v>
      </c>
      <c r="H3" s="163" t="s">
        <v>35</v>
      </c>
      <c r="I3" s="163" t="s">
        <v>29</v>
      </c>
      <c r="J3" s="163" t="s">
        <v>33</v>
      </c>
      <c r="K3" s="163" t="s">
        <v>28</v>
      </c>
      <c r="L3" s="163" t="s">
        <v>36</v>
      </c>
      <c r="M3" s="227" t="s">
        <v>34</v>
      </c>
      <c r="N3" s="228" t="s">
        <v>29</v>
      </c>
    </row>
    <row r="4" spans="1:15" x14ac:dyDescent="0.2">
      <c r="A4" s="262" t="s">
        <v>69</v>
      </c>
      <c r="B4" s="30" t="s">
        <v>40</v>
      </c>
      <c r="C4" s="266" t="s">
        <v>32</v>
      </c>
      <c r="D4" s="267" t="s">
        <v>35</v>
      </c>
      <c r="E4" s="267" t="s">
        <v>34</v>
      </c>
      <c r="F4" s="267" t="s">
        <v>29</v>
      </c>
      <c r="G4" s="267" t="s">
        <v>28</v>
      </c>
      <c r="H4" s="267" t="s">
        <v>25</v>
      </c>
      <c r="I4" s="267" t="s">
        <v>33</v>
      </c>
      <c r="J4" s="267" t="s">
        <v>36</v>
      </c>
      <c r="K4" s="267" t="s">
        <v>31</v>
      </c>
      <c r="L4" s="267" t="s">
        <v>30</v>
      </c>
      <c r="M4" s="227" t="s">
        <v>25</v>
      </c>
      <c r="N4" s="228" t="s">
        <v>33</v>
      </c>
      <c r="O4" s="231" t="s">
        <v>82</v>
      </c>
    </row>
    <row r="5" spans="1:15" x14ac:dyDescent="0.2">
      <c r="A5" s="177" t="s">
        <v>71</v>
      </c>
      <c r="B5" s="30" t="s">
        <v>42</v>
      </c>
      <c r="C5" s="166" t="s">
        <v>29</v>
      </c>
      <c r="D5" s="167" t="s">
        <v>25</v>
      </c>
      <c r="E5" s="167" t="s">
        <v>32</v>
      </c>
      <c r="F5" s="167" t="s">
        <v>30</v>
      </c>
      <c r="G5" s="167" t="s">
        <v>35</v>
      </c>
      <c r="H5" s="167" t="s">
        <v>34</v>
      </c>
      <c r="I5" s="167" t="s">
        <v>31</v>
      </c>
      <c r="J5" s="167" t="s">
        <v>28</v>
      </c>
      <c r="K5" s="167" t="s">
        <v>36</v>
      </c>
      <c r="L5" s="167" t="s">
        <v>33</v>
      </c>
      <c r="M5" s="227" t="s">
        <v>30</v>
      </c>
      <c r="N5" s="228" t="s">
        <v>31</v>
      </c>
    </row>
    <row r="6" spans="1:15" ht="16" thickBot="1" x14ac:dyDescent="0.25">
      <c r="A6" s="176" t="s">
        <v>73</v>
      </c>
      <c r="B6" s="30" t="s">
        <v>44</v>
      </c>
      <c r="C6" s="164" t="s">
        <v>31</v>
      </c>
      <c r="D6" s="165" t="s">
        <v>35</v>
      </c>
      <c r="E6" s="165" t="s">
        <v>36</v>
      </c>
      <c r="F6" s="165" t="s">
        <v>28</v>
      </c>
      <c r="G6" s="165" t="s">
        <v>34</v>
      </c>
      <c r="H6" s="165" t="s">
        <v>30</v>
      </c>
      <c r="I6" s="165" t="s">
        <v>29</v>
      </c>
      <c r="J6" s="165" t="s">
        <v>25</v>
      </c>
      <c r="K6" s="165" t="s">
        <v>32</v>
      </c>
      <c r="L6" s="165" t="s">
        <v>33</v>
      </c>
      <c r="M6" s="229" t="s">
        <v>35</v>
      </c>
      <c r="N6" s="230" t="s">
        <v>28</v>
      </c>
    </row>
    <row r="7" spans="1:15" ht="16" thickTop="1" x14ac:dyDescent="0.2">
      <c r="A7" s="180" t="s">
        <v>75</v>
      </c>
      <c r="B7" s="30" t="s">
        <v>46</v>
      </c>
      <c r="C7" s="181" t="s">
        <v>28</v>
      </c>
      <c r="D7" s="182" t="s">
        <v>33</v>
      </c>
      <c r="E7" s="182" t="s">
        <v>25</v>
      </c>
      <c r="F7" s="182" t="s">
        <v>30</v>
      </c>
      <c r="G7" s="182" t="s">
        <v>34</v>
      </c>
      <c r="H7" s="182" t="s">
        <v>29</v>
      </c>
      <c r="I7" s="182" t="s">
        <v>35</v>
      </c>
      <c r="J7" s="182" t="s">
        <v>36</v>
      </c>
      <c r="K7" s="182" t="s">
        <v>32</v>
      </c>
      <c r="L7" s="182" t="s">
        <v>31</v>
      </c>
      <c r="M7" s="285" t="s">
        <v>47</v>
      </c>
      <c r="N7" s="245" t="s">
        <v>32</v>
      </c>
    </row>
    <row r="8" spans="1:15" x14ac:dyDescent="0.2">
      <c r="A8" s="185" t="s">
        <v>77</v>
      </c>
      <c r="B8" s="30" t="s">
        <v>50</v>
      </c>
      <c r="C8" s="186" t="s">
        <v>29</v>
      </c>
      <c r="D8" s="187" t="s">
        <v>36</v>
      </c>
      <c r="E8" s="187" t="s">
        <v>28</v>
      </c>
      <c r="F8" s="187" t="s">
        <v>30</v>
      </c>
      <c r="G8" s="187" t="s">
        <v>33</v>
      </c>
      <c r="H8" s="187" t="s">
        <v>25</v>
      </c>
      <c r="I8" s="187" t="s">
        <v>31</v>
      </c>
      <c r="J8" s="187" t="s">
        <v>35</v>
      </c>
      <c r="K8" s="187" t="s">
        <v>34</v>
      </c>
      <c r="L8" s="187" t="s">
        <v>32</v>
      </c>
      <c r="M8" s="244" t="s">
        <v>30</v>
      </c>
      <c r="N8" s="288" t="s">
        <v>48</v>
      </c>
      <c r="O8" s="243" t="s">
        <v>64</v>
      </c>
    </row>
    <row r="9" spans="1:15" ht="16" thickBot="1" x14ac:dyDescent="0.25">
      <c r="A9" s="170" t="s">
        <v>79</v>
      </c>
      <c r="B9" s="30" t="s">
        <v>52</v>
      </c>
      <c r="C9" s="190" t="s">
        <v>32</v>
      </c>
      <c r="D9" s="190" t="s">
        <v>35</v>
      </c>
      <c r="E9" s="190" t="s">
        <v>28</v>
      </c>
      <c r="F9" s="190" t="s">
        <v>30</v>
      </c>
      <c r="G9" s="190" t="s">
        <v>29</v>
      </c>
      <c r="H9" s="190" t="s">
        <v>31</v>
      </c>
      <c r="I9" s="190" t="s">
        <v>25</v>
      </c>
      <c r="J9" s="191" t="s">
        <v>34</v>
      </c>
      <c r="K9" s="190" t="s">
        <v>33</v>
      </c>
      <c r="L9" s="190" t="s">
        <v>36</v>
      </c>
      <c r="M9" s="246" t="s">
        <v>34</v>
      </c>
      <c r="N9" s="242" t="s">
        <v>25</v>
      </c>
    </row>
    <row r="11" spans="1:15" ht="17" customHeight="1" x14ac:dyDescent="0.2"/>
    <row r="12" spans="1:15" ht="17" customHeight="1" x14ac:dyDescent="0.2"/>
    <row r="13" spans="1:15" ht="17" customHeight="1" x14ac:dyDescent="0.2"/>
    <row r="14" spans="1:15" ht="17" customHeight="1" x14ac:dyDescent="0.2"/>
    <row r="15" spans="1:15" ht="17" customHeight="1" x14ac:dyDescent="0.2"/>
    <row r="16" spans="1:15" ht="16" customHeight="1" x14ac:dyDescent="0.2"/>
    <row r="17" spans="1:15" ht="16" customHeight="1" x14ac:dyDescent="0.2"/>
    <row r="18" spans="1:15" ht="16" customHeight="1" x14ac:dyDescent="0.2"/>
    <row r="19" spans="1:15" ht="16" customHeight="1" x14ac:dyDescent="0.2"/>
    <row r="21" spans="1:15" ht="20" thickBot="1" x14ac:dyDescent="0.3">
      <c r="B21" s="106" t="s">
        <v>60</v>
      </c>
      <c r="C21" s="31">
        <v>1</v>
      </c>
      <c r="D21" s="31">
        <v>2</v>
      </c>
      <c r="E21" s="31">
        <v>3</v>
      </c>
      <c r="F21" s="31">
        <v>4</v>
      </c>
      <c r="G21" s="31">
        <v>5</v>
      </c>
      <c r="H21" s="31">
        <v>6</v>
      </c>
      <c r="I21" s="31">
        <v>7</v>
      </c>
      <c r="J21" s="31">
        <v>8</v>
      </c>
      <c r="K21" s="31">
        <v>9</v>
      </c>
      <c r="L21" s="31">
        <v>10</v>
      </c>
      <c r="M21" s="31">
        <v>11</v>
      </c>
      <c r="N21" s="31">
        <v>12</v>
      </c>
    </row>
    <row r="22" spans="1:15" ht="16" thickTop="1" x14ac:dyDescent="0.2">
      <c r="A22" s="192" t="s">
        <v>66</v>
      </c>
      <c r="B22" s="30" t="s">
        <v>27</v>
      </c>
      <c r="C22" s="193" t="s">
        <v>37</v>
      </c>
      <c r="D22" s="194" t="s">
        <v>49</v>
      </c>
      <c r="E22" s="194" t="s">
        <v>26</v>
      </c>
      <c r="F22" s="194" t="s">
        <v>43</v>
      </c>
      <c r="G22" s="194" t="s">
        <v>51</v>
      </c>
      <c r="H22" s="194" t="s">
        <v>45</v>
      </c>
      <c r="I22" s="195" t="s">
        <v>54</v>
      </c>
      <c r="J22" s="194" t="s">
        <v>53</v>
      </c>
      <c r="K22" s="194" t="s">
        <v>41</v>
      </c>
      <c r="L22" s="194" t="s">
        <v>39</v>
      </c>
      <c r="M22" s="248" t="s">
        <v>43</v>
      </c>
      <c r="N22" s="249" t="s">
        <v>53</v>
      </c>
    </row>
    <row r="23" spans="1:15" x14ac:dyDescent="0.2">
      <c r="A23" s="201" t="s">
        <v>68</v>
      </c>
      <c r="B23" s="30" t="s">
        <v>38</v>
      </c>
      <c r="C23" s="199" t="s">
        <v>54</v>
      </c>
      <c r="D23" s="200" t="s">
        <v>51</v>
      </c>
      <c r="E23" s="200" t="s">
        <v>41</v>
      </c>
      <c r="F23" s="200" t="s">
        <v>26</v>
      </c>
      <c r="G23" s="200" t="s">
        <v>37</v>
      </c>
      <c r="H23" s="200" t="s">
        <v>45</v>
      </c>
      <c r="I23" s="200" t="s">
        <v>43</v>
      </c>
      <c r="J23" s="200" t="s">
        <v>49</v>
      </c>
      <c r="K23" s="200" t="s">
        <v>39</v>
      </c>
      <c r="L23" s="200" t="s">
        <v>53</v>
      </c>
      <c r="M23" s="250" t="s">
        <v>39</v>
      </c>
      <c r="N23" s="251" t="s">
        <v>49</v>
      </c>
    </row>
    <row r="24" spans="1:15" x14ac:dyDescent="0.2">
      <c r="A24" s="204" t="s">
        <v>70</v>
      </c>
      <c r="B24" s="30" t="s">
        <v>40</v>
      </c>
      <c r="C24" s="205" t="s">
        <v>49</v>
      </c>
      <c r="D24" s="206" t="s">
        <v>45</v>
      </c>
      <c r="E24" s="206" t="s">
        <v>26</v>
      </c>
      <c r="F24" s="206" t="s">
        <v>37</v>
      </c>
      <c r="G24" s="206" t="s">
        <v>43</v>
      </c>
      <c r="H24" s="206" t="s">
        <v>53</v>
      </c>
      <c r="I24" s="206" t="s">
        <v>51</v>
      </c>
      <c r="J24" s="206" t="s">
        <v>39</v>
      </c>
      <c r="K24" s="206" t="s">
        <v>41</v>
      </c>
      <c r="L24" s="207" t="s">
        <v>54</v>
      </c>
      <c r="M24" s="250" t="s">
        <v>51</v>
      </c>
      <c r="N24" s="251" t="s">
        <v>37</v>
      </c>
      <c r="O24" s="247" t="s">
        <v>83</v>
      </c>
    </row>
    <row r="25" spans="1:15" x14ac:dyDescent="0.2">
      <c r="A25" s="208" t="s">
        <v>72</v>
      </c>
      <c r="B25" s="30" t="s">
        <v>42</v>
      </c>
      <c r="C25" s="209" t="s">
        <v>51</v>
      </c>
      <c r="D25" s="169" t="s">
        <v>45</v>
      </c>
      <c r="E25" s="169" t="s">
        <v>43</v>
      </c>
      <c r="F25" s="169" t="s">
        <v>39</v>
      </c>
      <c r="G25" s="210" t="s">
        <v>54</v>
      </c>
      <c r="H25" s="169" t="s">
        <v>41</v>
      </c>
      <c r="I25" s="169" t="s">
        <v>37</v>
      </c>
      <c r="J25" s="169" t="s">
        <v>49</v>
      </c>
      <c r="K25" s="169" t="s">
        <v>53</v>
      </c>
      <c r="L25" s="169" t="s">
        <v>26</v>
      </c>
      <c r="M25" s="250" t="s">
        <v>41</v>
      </c>
      <c r="N25" s="251" t="s">
        <v>26</v>
      </c>
    </row>
    <row r="26" spans="1:15" ht="16" thickBot="1" x14ac:dyDescent="0.25">
      <c r="A26" s="289" t="s">
        <v>74</v>
      </c>
      <c r="B26" s="30" t="s">
        <v>44</v>
      </c>
      <c r="C26" s="290" t="s">
        <v>41</v>
      </c>
      <c r="D26" s="291" t="s">
        <v>49</v>
      </c>
      <c r="E26" s="292" t="s">
        <v>54</v>
      </c>
      <c r="F26" s="291" t="s">
        <v>39</v>
      </c>
      <c r="G26" s="291" t="s">
        <v>37</v>
      </c>
      <c r="H26" s="291" t="s">
        <v>43</v>
      </c>
      <c r="I26" s="291" t="s">
        <v>45</v>
      </c>
      <c r="J26" s="291" t="s">
        <v>53</v>
      </c>
      <c r="K26" s="291" t="s">
        <v>51</v>
      </c>
      <c r="L26" s="291" t="s">
        <v>26</v>
      </c>
      <c r="M26" s="252" t="s">
        <v>45</v>
      </c>
      <c r="N26" s="253" t="s">
        <v>54</v>
      </c>
    </row>
    <row r="27" spans="1:15" ht="16" thickTop="1" x14ac:dyDescent="0.2">
      <c r="A27" s="178" t="s">
        <v>76</v>
      </c>
      <c r="B27" s="30" t="s">
        <v>46</v>
      </c>
      <c r="C27" s="179" t="s">
        <v>54</v>
      </c>
      <c r="D27" s="167" t="s">
        <v>51</v>
      </c>
      <c r="E27" s="167" t="s">
        <v>53</v>
      </c>
      <c r="F27" s="167" t="s">
        <v>26</v>
      </c>
      <c r="G27" s="167" t="s">
        <v>41</v>
      </c>
      <c r="H27" s="167" t="s">
        <v>39</v>
      </c>
      <c r="I27" s="167" t="s">
        <v>37</v>
      </c>
      <c r="J27" s="167" t="s">
        <v>45</v>
      </c>
      <c r="K27" s="167" t="s">
        <v>49</v>
      </c>
      <c r="L27" s="167" t="s">
        <v>43</v>
      </c>
      <c r="M27" s="285" t="s">
        <v>47</v>
      </c>
      <c r="N27" s="221" t="s">
        <v>45</v>
      </c>
    </row>
    <row r="28" spans="1:15" x14ac:dyDescent="0.2">
      <c r="A28" s="172" t="s">
        <v>78</v>
      </c>
      <c r="B28" s="30" t="s">
        <v>50</v>
      </c>
      <c r="C28" s="173" t="s">
        <v>37</v>
      </c>
      <c r="D28" s="174" t="s">
        <v>45</v>
      </c>
      <c r="E28" s="174" t="s">
        <v>51</v>
      </c>
      <c r="F28" s="174" t="s">
        <v>39</v>
      </c>
      <c r="G28" s="174" t="s">
        <v>26</v>
      </c>
      <c r="H28" s="174" t="s">
        <v>53</v>
      </c>
      <c r="I28" s="174" t="s">
        <v>41</v>
      </c>
      <c r="J28" s="174" t="s">
        <v>43</v>
      </c>
      <c r="K28" s="175" t="s">
        <v>54</v>
      </c>
      <c r="L28" s="174" t="s">
        <v>49</v>
      </c>
      <c r="M28" s="220" t="s">
        <v>43</v>
      </c>
      <c r="N28" s="288" t="s">
        <v>48</v>
      </c>
      <c r="O28" s="224" t="s">
        <v>84</v>
      </c>
    </row>
    <row r="29" spans="1:15" ht="16" thickBot="1" x14ac:dyDescent="0.25">
      <c r="A29" s="213" t="s">
        <v>80</v>
      </c>
      <c r="B29" s="30" t="s">
        <v>52</v>
      </c>
      <c r="C29" s="214" t="s">
        <v>51</v>
      </c>
      <c r="D29" s="215" t="s">
        <v>41</v>
      </c>
      <c r="E29" s="216" t="s">
        <v>54</v>
      </c>
      <c r="F29" s="215" t="s">
        <v>39</v>
      </c>
      <c r="G29" s="215" t="s">
        <v>43</v>
      </c>
      <c r="H29" s="215" t="s">
        <v>53</v>
      </c>
      <c r="I29" s="215" t="s">
        <v>37</v>
      </c>
      <c r="J29" s="215" t="s">
        <v>26</v>
      </c>
      <c r="K29" s="215" t="s">
        <v>49</v>
      </c>
      <c r="L29" s="215" t="s">
        <v>45</v>
      </c>
      <c r="M29" s="222" t="s">
        <v>49</v>
      </c>
      <c r="N29" s="223" t="s">
        <v>37</v>
      </c>
    </row>
    <row r="32" spans="1:15" ht="20" thickBot="1" x14ac:dyDescent="0.3">
      <c r="B32" s="106" t="s">
        <v>61</v>
      </c>
      <c r="C32" s="31">
        <v>1</v>
      </c>
      <c r="D32" s="31">
        <v>2</v>
      </c>
      <c r="E32" s="31">
        <v>3</v>
      </c>
      <c r="F32" s="31">
        <v>4</v>
      </c>
      <c r="G32" s="31">
        <v>5</v>
      </c>
      <c r="H32" s="31">
        <v>6</v>
      </c>
      <c r="I32" s="31">
        <v>7</v>
      </c>
      <c r="J32" s="31">
        <v>8</v>
      </c>
      <c r="K32" s="31">
        <v>9</v>
      </c>
      <c r="L32" s="31">
        <v>10</v>
      </c>
      <c r="M32" s="31">
        <v>11</v>
      </c>
      <c r="N32" s="31">
        <v>12</v>
      </c>
    </row>
    <row r="33" spans="1:15" ht="16" thickTop="1" x14ac:dyDescent="0.2">
      <c r="A33" s="268" t="s">
        <v>85</v>
      </c>
      <c r="B33" s="30" t="s">
        <v>27</v>
      </c>
      <c r="C33" s="269" t="s">
        <v>32</v>
      </c>
      <c r="D33" s="270" t="s">
        <v>35</v>
      </c>
      <c r="E33" s="270" t="s">
        <v>25</v>
      </c>
      <c r="F33" s="271" t="s">
        <v>34</v>
      </c>
      <c r="G33" s="270" t="s">
        <v>30</v>
      </c>
      <c r="H33" s="270" t="s">
        <v>28</v>
      </c>
      <c r="I33" s="270" t="s">
        <v>36</v>
      </c>
      <c r="J33" s="270" t="s">
        <v>31</v>
      </c>
      <c r="K33" s="270" t="s">
        <v>33</v>
      </c>
      <c r="L33" s="270" t="s">
        <v>29</v>
      </c>
      <c r="M33" s="279" t="s">
        <v>33</v>
      </c>
      <c r="N33" s="280" t="s">
        <v>31</v>
      </c>
    </row>
    <row r="34" spans="1:15" x14ac:dyDescent="0.2">
      <c r="A34" s="192" t="s">
        <v>86</v>
      </c>
      <c r="B34" s="30" t="s">
        <v>38</v>
      </c>
      <c r="C34" s="196" t="s">
        <v>30</v>
      </c>
      <c r="D34" s="197" t="s">
        <v>25</v>
      </c>
      <c r="E34" s="197" t="s">
        <v>31</v>
      </c>
      <c r="F34" s="197" t="s">
        <v>28</v>
      </c>
      <c r="G34" s="197" t="s">
        <v>32</v>
      </c>
      <c r="H34" s="198" t="s">
        <v>34</v>
      </c>
      <c r="I34" s="197" t="s">
        <v>36</v>
      </c>
      <c r="J34" s="197" t="s">
        <v>29</v>
      </c>
      <c r="K34" s="197" t="s">
        <v>35</v>
      </c>
      <c r="L34" s="197" t="s">
        <v>33</v>
      </c>
      <c r="M34" s="281" t="s">
        <v>35</v>
      </c>
      <c r="N34" s="282" t="s">
        <v>34</v>
      </c>
    </row>
    <row r="35" spans="1:15" x14ac:dyDescent="0.2">
      <c r="A35" s="289" t="s">
        <v>87</v>
      </c>
      <c r="B35" s="30" t="s">
        <v>40</v>
      </c>
      <c r="C35" s="290" t="s">
        <v>25</v>
      </c>
      <c r="D35" s="291" t="s">
        <v>31</v>
      </c>
      <c r="E35" s="291" t="s">
        <v>29</v>
      </c>
      <c r="F35" s="291" t="s">
        <v>35</v>
      </c>
      <c r="G35" s="291" t="s">
        <v>36</v>
      </c>
      <c r="H35" s="292" t="s">
        <v>34</v>
      </c>
      <c r="I35" s="291" t="s">
        <v>28</v>
      </c>
      <c r="J35" s="291" t="s">
        <v>32</v>
      </c>
      <c r="K35" s="291" t="s">
        <v>33</v>
      </c>
      <c r="L35" s="291" t="s">
        <v>30</v>
      </c>
      <c r="M35" s="281" t="s">
        <v>29</v>
      </c>
      <c r="N35" s="282" t="s">
        <v>30</v>
      </c>
      <c r="O35" s="275" t="s">
        <v>88</v>
      </c>
    </row>
    <row r="36" spans="1:15" x14ac:dyDescent="0.2">
      <c r="A36" s="204" t="s">
        <v>89</v>
      </c>
      <c r="B36" s="30" t="s">
        <v>42</v>
      </c>
      <c r="C36" s="205" t="s">
        <v>30</v>
      </c>
      <c r="D36" s="206" t="s">
        <v>25</v>
      </c>
      <c r="E36" s="206" t="s">
        <v>33</v>
      </c>
      <c r="F36" s="206" t="s">
        <v>35</v>
      </c>
      <c r="G36" s="206" t="s">
        <v>32</v>
      </c>
      <c r="H36" s="207" t="s">
        <v>34</v>
      </c>
      <c r="I36" s="206" t="s">
        <v>29</v>
      </c>
      <c r="J36" s="206" t="s">
        <v>36</v>
      </c>
      <c r="K36" s="206" t="s">
        <v>31</v>
      </c>
      <c r="L36" s="206" t="s">
        <v>28</v>
      </c>
      <c r="M36" s="281" t="s">
        <v>32</v>
      </c>
      <c r="N36" s="282" t="s">
        <v>28</v>
      </c>
    </row>
    <row r="37" spans="1:15" ht="16" thickBot="1" x14ac:dyDescent="0.25">
      <c r="A37" s="243" t="s">
        <v>90</v>
      </c>
      <c r="B37" s="30" t="s">
        <v>44</v>
      </c>
      <c r="C37" s="257" t="s">
        <v>35</v>
      </c>
      <c r="D37" s="258" t="s">
        <v>25</v>
      </c>
      <c r="E37" s="258" t="s">
        <v>29</v>
      </c>
      <c r="F37" s="258" t="s">
        <v>36</v>
      </c>
      <c r="G37" s="258" t="s">
        <v>31</v>
      </c>
      <c r="H37" s="258" t="s">
        <v>30</v>
      </c>
      <c r="I37" s="258" t="s">
        <v>32</v>
      </c>
      <c r="J37" s="259" t="s">
        <v>34</v>
      </c>
      <c r="K37" s="258" t="s">
        <v>33</v>
      </c>
      <c r="L37" s="258" t="s">
        <v>28</v>
      </c>
      <c r="M37" s="283" t="s">
        <v>36</v>
      </c>
      <c r="N37" s="284" t="s">
        <v>25</v>
      </c>
    </row>
    <row r="38" spans="1:15" ht="16" thickTop="1" x14ac:dyDescent="0.2">
      <c r="A38" s="201" t="s">
        <v>91</v>
      </c>
      <c r="B38" s="30" t="s">
        <v>46</v>
      </c>
      <c r="C38" s="202" t="s">
        <v>35</v>
      </c>
      <c r="D38" s="200" t="s">
        <v>36</v>
      </c>
      <c r="E38" s="200" t="s">
        <v>31</v>
      </c>
      <c r="F38" s="200" t="s">
        <v>28</v>
      </c>
      <c r="G38" s="200" t="s">
        <v>29</v>
      </c>
      <c r="H38" s="200" t="s">
        <v>30</v>
      </c>
      <c r="I38" s="200" t="s">
        <v>25</v>
      </c>
      <c r="J38" s="200" t="s">
        <v>33</v>
      </c>
      <c r="K38" s="203" t="s">
        <v>34</v>
      </c>
      <c r="L38" s="200" t="s">
        <v>32</v>
      </c>
      <c r="M38" s="285" t="s">
        <v>48</v>
      </c>
      <c r="N38" s="245" t="s">
        <v>28</v>
      </c>
    </row>
    <row r="39" spans="1:15" x14ac:dyDescent="0.2">
      <c r="A39" s="183" t="s">
        <v>92</v>
      </c>
      <c r="B39" s="30" t="s">
        <v>50</v>
      </c>
      <c r="C39" s="181" t="s">
        <v>29</v>
      </c>
      <c r="D39" s="182" t="s">
        <v>31</v>
      </c>
      <c r="E39" s="182" t="s">
        <v>33</v>
      </c>
      <c r="F39" s="182" t="s">
        <v>28</v>
      </c>
      <c r="G39" s="184" t="s">
        <v>34</v>
      </c>
      <c r="H39" s="182" t="s">
        <v>25</v>
      </c>
      <c r="I39" s="182" t="s">
        <v>35</v>
      </c>
      <c r="J39" s="182" t="s">
        <v>32</v>
      </c>
      <c r="K39" s="182" t="s">
        <v>36</v>
      </c>
      <c r="L39" s="182" t="s">
        <v>30</v>
      </c>
      <c r="M39" s="244" t="s">
        <v>35</v>
      </c>
      <c r="N39" s="245" t="s">
        <v>31</v>
      </c>
      <c r="O39" s="243" t="s">
        <v>64</v>
      </c>
    </row>
    <row r="40" spans="1:15" ht="16" thickBot="1" x14ac:dyDescent="0.25">
      <c r="A40" s="238" t="s">
        <v>63</v>
      </c>
      <c r="B40" s="30" t="s">
        <v>52</v>
      </c>
      <c r="C40" s="239" t="s">
        <v>31</v>
      </c>
      <c r="D40" s="240" t="s">
        <v>35</v>
      </c>
      <c r="E40" s="240" t="s">
        <v>33</v>
      </c>
      <c r="F40" s="240" t="s">
        <v>25</v>
      </c>
      <c r="G40" s="240" t="s">
        <v>32</v>
      </c>
      <c r="H40" s="241" t="s">
        <v>34</v>
      </c>
      <c r="I40" s="240" t="s">
        <v>29</v>
      </c>
      <c r="J40" s="240" t="s">
        <v>28</v>
      </c>
      <c r="K40" s="240" t="s">
        <v>30</v>
      </c>
      <c r="L40" s="240" t="s">
        <v>36</v>
      </c>
      <c r="M40" s="246" t="s">
        <v>29</v>
      </c>
      <c r="N40" s="287" t="s">
        <v>47</v>
      </c>
    </row>
    <row r="45" spans="1:15" ht="20" thickBot="1" x14ac:dyDescent="0.3">
      <c r="B45" s="106" t="s">
        <v>62</v>
      </c>
      <c r="C45" s="31">
        <v>1</v>
      </c>
      <c r="D45" s="31">
        <v>2</v>
      </c>
      <c r="E45" s="31">
        <v>3</v>
      </c>
      <c r="F45" s="31">
        <v>4</v>
      </c>
      <c r="G45" s="31">
        <v>5</v>
      </c>
      <c r="H45" s="31">
        <v>6</v>
      </c>
      <c r="I45" s="31">
        <v>7</v>
      </c>
      <c r="J45" s="31">
        <v>8</v>
      </c>
      <c r="K45" s="31">
        <v>9</v>
      </c>
      <c r="L45" s="31">
        <v>10</v>
      </c>
      <c r="M45" s="31">
        <v>11</v>
      </c>
      <c r="N45" s="31">
        <v>12</v>
      </c>
    </row>
    <row r="46" spans="1:15" ht="16" thickTop="1" x14ac:dyDescent="0.2">
      <c r="A46" s="213" t="s">
        <v>93</v>
      </c>
      <c r="B46" s="30" t="s">
        <v>27</v>
      </c>
      <c r="C46" s="217" t="s">
        <v>37</v>
      </c>
      <c r="D46" s="218" t="s">
        <v>45</v>
      </c>
      <c r="E46" s="218" t="s">
        <v>41</v>
      </c>
      <c r="F46" s="219" t="s">
        <v>54</v>
      </c>
      <c r="G46" s="218" t="s">
        <v>39</v>
      </c>
      <c r="H46" s="218" t="s">
        <v>43</v>
      </c>
      <c r="I46" s="218" t="s">
        <v>53</v>
      </c>
      <c r="J46" s="218" t="s">
        <v>51</v>
      </c>
      <c r="K46" s="218" t="s">
        <v>26</v>
      </c>
      <c r="L46" s="218" t="s">
        <v>49</v>
      </c>
      <c r="M46" s="232" t="s">
        <v>39</v>
      </c>
      <c r="N46" s="233" t="s">
        <v>43</v>
      </c>
    </row>
    <row r="47" spans="1:15" x14ac:dyDescent="0.2">
      <c r="A47" s="188" t="s">
        <v>94</v>
      </c>
      <c r="B47" s="30" t="s">
        <v>38</v>
      </c>
      <c r="C47" s="186" t="s">
        <v>41</v>
      </c>
      <c r="D47" s="187" t="s">
        <v>39</v>
      </c>
      <c r="E47" s="187" t="s">
        <v>26</v>
      </c>
      <c r="F47" s="187" t="s">
        <v>53</v>
      </c>
      <c r="G47" s="187" t="s">
        <v>43</v>
      </c>
      <c r="H47" s="187" t="s">
        <v>49</v>
      </c>
      <c r="I47" s="187" t="s">
        <v>45</v>
      </c>
      <c r="J47" s="189" t="s">
        <v>54</v>
      </c>
      <c r="K47" s="187" t="s">
        <v>37</v>
      </c>
      <c r="L47" s="187" t="s">
        <v>51</v>
      </c>
      <c r="M47" s="234" t="s">
        <v>53</v>
      </c>
      <c r="N47" s="235" t="s">
        <v>41</v>
      </c>
    </row>
    <row r="48" spans="1:15" x14ac:dyDescent="0.2">
      <c r="A48" s="247" t="s">
        <v>95</v>
      </c>
      <c r="B48" s="30" t="s">
        <v>40</v>
      </c>
      <c r="C48" s="254" t="s">
        <v>39</v>
      </c>
      <c r="D48" s="255" t="s">
        <v>43</v>
      </c>
      <c r="E48" s="255" t="s">
        <v>51</v>
      </c>
      <c r="F48" s="255" t="s">
        <v>45</v>
      </c>
      <c r="G48" s="255" t="s">
        <v>49</v>
      </c>
      <c r="H48" s="255" t="s">
        <v>53</v>
      </c>
      <c r="I48" s="256" t="s">
        <v>54</v>
      </c>
      <c r="J48" s="255" t="s">
        <v>41</v>
      </c>
      <c r="K48" s="255" t="s">
        <v>26</v>
      </c>
      <c r="L48" s="255" t="s">
        <v>37</v>
      </c>
      <c r="M48" s="234" t="s">
        <v>26</v>
      </c>
      <c r="N48" s="235" t="s">
        <v>54</v>
      </c>
      <c r="O48" s="238" t="s">
        <v>96</v>
      </c>
    </row>
    <row r="49" spans="1:15" x14ac:dyDescent="0.2">
      <c r="A49" s="231" t="s">
        <v>97</v>
      </c>
      <c r="B49" s="30" t="s">
        <v>42</v>
      </c>
      <c r="C49" s="263" t="s">
        <v>43</v>
      </c>
      <c r="D49" s="264" t="s">
        <v>37</v>
      </c>
      <c r="E49" s="264" t="s">
        <v>41</v>
      </c>
      <c r="F49" s="264" t="s">
        <v>51</v>
      </c>
      <c r="G49" s="264" t="s">
        <v>53</v>
      </c>
      <c r="H49" s="264" t="s">
        <v>39</v>
      </c>
      <c r="I49" s="264" t="s">
        <v>26</v>
      </c>
      <c r="J49" s="264" t="s">
        <v>45</v>
      </c>
      <c r="K49" s="265" t="s">
        <v>54</v>
      </c>
      <c r="L49" s="264" t="s">
        <v>49</v>
      </c>
      <c r="M49" s="234" t="s">
        <v>51</v>
      </c>
      <c r="N49" s="235" t="s">
        <v>45</v>
      </c>
    </row>
    <row r="50" spans="1:15" ht="16" thickBot="1" x14ac:dyDescent="0.25">
      <c r="A50" s="260" t="s">
        <v>98</v>
      </c>
      <c r="B50" s="30" t="s">
        <v>44</v>
      </c>
      <c r="C50" s="164" t="s">
        <v>26</v>
      </c>
      <c r="D50" s="165" t="s">
        <v>41</v>
      </c>
      <c r="E50" s="165" t="s">
        <v>49</v>
      </c>
      <c r="F50" s="165" t="s">
        <v>39</v>
      </c>
      <c r="G50" s="261" t="s">
        <v>54</v>
      </c>
      <c r="H50" s="165" t="s">
        <v>45</v>
      </c>
      <c r="I50" s="165" t="s">
        <v>37</v>
      </c>
      <c r="J50" s="165" t="s">
        <v>51</v>
      </c>
      <c r="K50" s="165" t="s">
        <v>43</v>
      </c>
      <c r="L50" s="165" t="s">
        <v>53</v>
      </c>
      <c r="M50" s="236" t="s">
        <v>37</v>
      </c>
      <c r="N50" s="237" t="s">
        <v>49</v>
      </c>
    </row>
    <row r="51" spans="1:15" ht="16" thickTop="1" x14ac:dyDescent="0.2">
      <c r="A51" s="268" t="s">
        <v>99</v>
      </c>
      <c r="B51" s="30" t="s">
        <v>46</v>
      </c>
      <c r="C51" s="272" t="s">
        <v>45</v>
      </c>
      <c r="D51" s="273" t="s">
        <v>53</v>
      </c>
      <c r="E51" s="274" t="s">
        <v>54</v>
      </c>
      <c r="F51" s="273" t="s">
        <v>26</v>
      </c>
      <c r="G51" s="273" t="s">
        <v>51</v>
      </c>
      <c r="H51" s="273" t="s">
        <v>43</v>
      </c>
      <c r="I51" s="273" t="s">
        <v>41</v>
      </c>
      <c r="J51" s="273" t="s">
        <v>49</v>
      </c>
      <c r="K51" s="273" t="s">
        <v>37</v>
      </c>
      <c r="L51" s="273" t="s">
        <v>39</v>
      </c>
      <c r="M51" s="285" t="s">
        <v>48</v>
      </c>
      <c r="N51" s="221" t="s">
        <v>54</v>
      </c>
    </row>
    <row r="52" spans="1:15" x14ac:dyDescent="0.2">
      <c r="A52" s="275" t="s">
        <v>81</v>
      </c>
      <c r="B52" s="30" t="s">
        <v>50</v>
      </c>
      <c r="C52" s="276" t="s">
        <v>43</v>
      </c>
      <c r="D52" s="277" t="s">
        <v>45</v>
      </c>
      <c r="E52" s="277" t="s">
        <v>37</v>
      </c>
      <c r="F52" s="277" t="s">
        <v>53</v>
      </c>
      <c r="G52" s="277" t="s">
        <v>39</v>
      </c>
      <c r="H52" s="278" t="s">
        <v>54</v>
      </c>
      <c r="I52" s="277" t="s">
        <v>41</v>
      </c>
      <c r="J52" s="277" t="s">
        <v>26</v>
      </c>
      <c r="K52" s="277" t="s">
        <v>49</v>
      </c>
      <c r="L52" s="277" t="s">
        <v>51</v>
      </c>
      <c r="M52" s="220" t="s">
        <v>53</v>
      </c>
      <c r="N52" s="221" t="s">
        <v>51</v>
      </c>
      <c r="O52" s="224" t="s">
        <v>84</v>
      </c>
    </row>
    <row r="53" spans="1:15" ht="16" thickBot="1" x14ac:dyDescent="0.25">
      <c r="A53" s="208" t="s">
        <v>100</v>
      </c>
      <c r="B53" s="30" t="s">
        <v>52</v>
      </c>
      <c r="C53" s="211" t="s">
        <v>45</v>
      </c>
      <c r="D53" s="168" t="s">
        <v>37</v>
      </c>
      <c r="E53" s="168" t="s">
        <v>39</v>
      </c>
      <c r="F53" s="168" t="s">
        <v>41</v>
      </c>
      <c r="G53" s="168" t="s">
        <v>26</v>
      </c>
      <c r="H53" s="168" t="s">
        <v>51</v>
      </c>
      <c r="I53" s="168" t="s">
        <v>43</v>
      </c>
      <c r="J53" s="168" t="s">
        <v>53</v>
      </c>
      <c r="K53" s="168" t="s">
        <v>49</v>
      </c>
      <c r="L53" s="212" t="s">
        <v>54</v>
      </c>
      <c r="M53" s="286" t="s">
        <v>47</v>
      </c>
      <c r="N53" s="223" t="s">
        <v>26</v>
      </c>
    </row>
    <row r="57" spans="1:15" x14ac:dyDescent="0.2">
      <c r="C57" s="238" t="s">
        <v>63</v>
      </c>
      <c r="D57" s="243" t="s">
        <v>64</v>
      </c>
    </row>
    <row r="58" spans="1:15" x14ac:dyDescent="0.2">
      <c r="C58" s="170" t="s">
        <v>65</v>
      </c>
      <c r="D58" s="192" t="s">
        <v>66</v>
      </c>
    </row>
    <row r="59" spans="1:15" x14ac:dyDescent="0.2">
      <c r="C59" s="171" t="s">
        <v>67</v>
      </c>
      <c r="D59" s="201" t="s">
        <v>68</v>
      </c>
    </row>
    <row r="60" spans="1:15" x14ac:dyDescent="0.2">
      <c r="C60" s="262" t="s">
        <v>69</v>
      </c>
      <c r="D60" s="204" t="s">
        <v>70</v>
      </c>
    </row>
    <row r="61" spans="1:15" x14ac:dyDescent="0.2">
      <c r="C61" s="177" t="s">
        <v>71</v>
      </c>
      <c r="D61" s="208" t="s">
        <v>72</v>
      </c>
    </row>
    <row r="62" spans="1:15" x14ac:dyDescent="0.2">
      <c r="C62" s="176" t="s">
        <v>73</v>
      </c>
      <c r="D62" s="289" t="s">
        <v>74</v>
      </c>
    </row>
    <row r="63" spans="1:15" x14ac:dyDescent="0.2">
      <c r="C63" s="180" t="s">
        <v>75</v>
      </c>
      <c r="D63" s="178" t="s">
        <v>76</v>
      </c>
    </row>
    <row r="64" spans="1:15" x14ac:dyDescent="0.2">
      <c r="C64" s="185" t="s">
        <v>77</v>
      </c>
      <c r="D64" s="172" t="s">
        <v>78</v>
      </c>
    </row>
    <row r="65" spans="3:4" x14ac:dyDescent="0.2">
      <c r="C65" s="170" t="s">
        <v>79</v>
      </c>
      <c r="D65" s="213" t="s">
        <v>80</v>
      </c>
    </row>
    <row r="66" spans="3:4" x14ac:dyDescent="0.2">
      <c r="C66" s="275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9F36DEDE7E942AEA3B296DCE78844" ma:contentTypeVersion="1" ma:contentTypeDescription="Create a new document." ma:contentTypeScope="" ma:versionID="7bed6ec995c35dbfa68ded2682e4b679">
  <xsd:schema xmlns:xsd="http://www.w3.org/2001/XMLSchema" xmlns:xs="http://www.w3.org/2001/XMLSchema" xmlns:p="http://schemas.microsoft.com/office/2006/metadata/properties" xmlns:ns3="dfc9f6d1-7400-4abd-9ffe-caee73ae93b3" targetNamespace="http://schemas.microsoft.com/office/2006/metadata/properties" ma:root="true" ma:fieldsID="f3cdc5000c06d69e9fcb2a6ab660af70" ns3:_="">
    <xsd:import namespace="dfc9f6d1-7400-4abd-9ffe-caee73ae93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9f6d1-7400-4abd-9ffe-caee73ae93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0FC253-B5E3-42F4-8ECB-2E34A185BF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c9f6d1-7400-4abd-9ffe-caee73ae93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2F03B9-B8A5-4A62-8872-5CDA636615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928B92-52AB-43DF-A953-D982829A0BF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Calcs</vt:lpstr>
      <vt:lpstr>Wells</vt:lpstr>
      <vt:lpstr>WELLS to print</vt:lpstr>
      <vt:lpstr>Microbiome Randomized</vt:lpstr>
      <vt:lpstr>Copy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Igwilo, Favor</dc:creator>
  <cp:keywords/>
  <dc:description/>
  <cp:lastModifiedBy>Bo Peng</cp:lastModifiedBy>
  <cp:revision/>
  <dcterms:created xsi:type="dcterms:W3CDTF">2025-06-13T17:19:56Z</dcterms:created>
  <dcterms:modified xsi:type="dcterms:W3CDTF">2025-08-08T20:53:07Z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0x0101003DD9F36DEDE7E942AEA3B296DCE78844</vt:lpwstr>
  </property>
</Properties>
</file>